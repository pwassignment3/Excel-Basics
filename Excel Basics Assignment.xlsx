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420\Downloads\"/>
    </mc:Choice>
  </mc:AlternateContent>
  <xr:revisionPtr revIDLastSave="0" documentId="13_ncr:1_{9E433D9C-7F35-4D7E-8220-0F48C4A743EA}" xr6:coauthVersionLast="47" xr6:coauthVersionMax="47" xr10:uidLastSave="{00000000-0000-0000-0000-000000000000}"/>
  <bookViews>
    <workbookView xWindow="-120" yWindow="-120" windowWidth="20730" windowHeight="11760" firstSheet="1" activeTab="6" xr2:uid="{804BBFE0-334A-4D5A-8212-B99C44B3DAEA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6" r:id="rId5"/>
    <sheet name="Question 6" sheetId="7" r:id="rId6"/>
    <sheet name="Question 7" sheetId="8" r:id="rId7"/>
    <sheet name="Question 8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7" l="1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6" i="6"/>
  <c r="H5" i="6"/>
  <c r="E6" i="3"/>
  <c r="F7" i="2"/>
</calcChain>
</file>

<file path=xl/sharedStrings.xml><?xml version="1.0" encoding="utf-8"?>
<sst xmlns="http://schemas.openxmlformats.org/spreadsheetml/2006/main" count="948" uniqueCount="119">
  <si>
    <r>
      <rPr>
        <b/>
        <sz val="11"/>
        <color rgb="FF000000"/>
        <rFont val="Calibri"/>
        <family val="2"/>
      </rPr>
      <t>Relative Reference</t>
    </r>
    <r>
      <rPr>
        <sz val="11"/>
        <color rgb="FF000000"/>
        <rFont val="Calibri"/>
        <family val="2"/>
      </rPr>
      <t>:-  It change automatically when copied to another cell.</t>
    </r>
  </si>
  <si>
    <r>
      <rPr>
        <b/>
        <sz val="11"/>
        <color rgb="FF000000"/>
        <rFont val="Calibri"/>
        <family val="2"/>
      </rPr>
      <t>Absolute Reference:-</t>
    </r>
    <r>
      <rPr>
        <sz val="11"/>
        <color rgb="FF000000"/>
        <rFont val="Calibri"/>
        <family val="2"/>
      </rPr>
      <t xml:space="preserve">  It remain fixed no matter where the formula is copied.</t>
    </r>
  </si>
  <si>
    <r>
      <rPr>
        <b/>
        <sz val="11"/>
        <color rgb="FF000000"/>
        <rFont val="Calibri"/>
        <family val="2"/>
      </rPr>
      <t xml:space="preserve">Mixed Reference:- </t>
    </r>
    <r>
      <rPr>
        <sz val="11"/>
        <color rgb="FF000000"/>
        <rFont val="Calibri"/>
        <family val="2"/>
      </rPr>
      <t xml:space="preserve"> It is the combination of Relative and Absolute.</t>
    </r>
  </si>
  <si>
    <r>
      <rPr>
        <b/>
        <u/>
        <sz val="12"/>
        <color rgb="FF000000"/>
        <rFont val="Calibri"/>
        <family val="2"/>
      </rPr>
      <t>Question1</t>
    </r>
    <r>
      <rPr>
        <b/>
        <sz val="12"/>
        <color rgb="FF000000"/>
        <rFont val="Calibri"/>
        <family val="2"/>
      </rPr>
      <t>.</t>
    </r>
    <r>
      <rPr>
        <b/>
        <sz val="11"/>
        <color rgb="FF000000"/>
        <rFont val="Calibri"/>
        <family val="2"/>
      </rPr>
      <t xml:space="preserve">  Explain the difference between Relative, Absolute, and Mixed Cell Referencing.</t>
    </r>
  </si>
  <si>
    <t xml:space="preserve">Answer 1.   </t>
  </si>
  <si>
    <t xml:space="preserve">Vehicle </t>
  </si>
  <si>
    <t>Price</t>
  </si>
  <si>
    <t>Result</t>
  </si>
  <si>
    <t xml:space="preserve">Car </t>
  </si>
  <si>
    <t xml:space="preserve">Bicycle </t>
  </si>
  <si>
    <t>Auto-Rickshaw</t>
  </si>
  <si>
    <r>
      <rPr>
        <b/>
        <u/>
        <sz val="12"/>
        <color rgb="FF000000"/>
        <rFont val="Calibri"/>
        <family val="2"/>
      </rPr>
      <t>Question2</t>
    </r>
    <r>
      <rPr>
        <b/>
        <sz val="12"/>
        <color rgb="FF000000"/>
        <rFont val="Calibri"/>
        <family val="2"/>
      </rPr>
      <t>.  Write a formula to calculate the total sales of Car and Bicyle only.</t>
    </r>
  </si>
  <si>
    <t xml:space="preserve">Formula of total sale of car and bicycle are "=SUM(E7:E8)" which is impliment in Cell F7. </t>
  </si>
  <si>
    <r>
      <rPr>
        <b/>
        <u/>
        <sz val="11"/>
        <color rgb="FF000000"/>
        <rFont val="Calibri"/>
        <family val="2"/>
      </rPr>
      <t>Question3</t>
    </r>
    <r>
      <rPr>
        <b/>
        <sz val="11"/>
        <color rgb="FF000000"/>
        <rFont val="Calibri"/>
        <family val="2"/>
      </rPr>
      <t>.  Using the data below, write a formula to calculate the average sales of  items priced above 100 but less than 300</t>
    </r>
  </si>
  <si>
    <t>Item</t>
  </si>
  <si>
    <t>Sales</t>
  </si>
  <si>
    <t>Item A</t>
  </si>
  <si>
    <t>Item B</t>
  </si>
  <si>
    <t>Item C</t>
  </si>
  <si>
    <t>Answer :  Formula to calculate the average sales of items are "=AVERAGEIFS(D6:D8, C6:C8, "&gt;100", C6:C8, "&lt;300")" which is impliment in cell E6.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</si>
  <si>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</si>
  <si>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</si>
  <si>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</si>
  <si>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</si>
  <si>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</si>
  <si>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</si>
  <si>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</si>
  <si>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</si>
  <si>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</si>
  <si>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</si>
  <si>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</si>
  <si>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</si>
  <si>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</si>
  <si>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</si>
  <si>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</si>
  <si>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</si>
  <si>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 xml:space="preserve">Answer  </t>
  </si>
  <si>
    <t>Pooja Mehta</t>
  </si>
  <si>
    <t>West</t>
  </si>
  <si>
    <t>Ankit Jain</t>
  </si>
  <si>
    <t>Pencil</t>
  </si>
  <si>
    <t>Sneha Patel</t>
  </si>
  <si>
    <t>Vikas Gupta</t>
  </si>
  <si>
    <t>Eraser</t>
  </si>
  <si>
    <t>1/13/2024</t>
  </si>
  <si>
    <t>Meera Nair</t>
  </si>
  <si>
    <t>1/15/2024</t>
  </si>
  <si>
    <t>Anjali Rao</t>
  </si>
  <si>
    <t>1/17/2024</t>
  </si>
  <si>
    <t>Manoj Das</t>
  </si>
  <si>
    <t>1/18/2024</t>
  </si>
  <si>
    <t>Ritika Sen</t>
  </si>
  <si>
    <t>1/19/2024</t>
  </si>
  <si>
    <t>Karan Malhotra</t>
  </si>
  <si>
    <t>1/20/2024</t>
  </si>
  <si>
    <t>Aryan Joshi</t>
  </si>
  <si>
    <t>1/22/2024</t>
  </si>
  <si>
    <t>Divya Kapoor</t>
  </si>
  <si>
    <t>1/23/2024</t>
  </si>
  <si>
    <t>Sahil Arora</t>
  </si>
  <si>
    <t>1/24/2024</t>
  </si>
  <si>
    <t>Muskan Jain</t>
  </si>
  <si>
    <t>1/26/2024</t>
  </si>
  <si>
    <t>Rohan Gupta</t>
  </si>
  <si>
    <t>1/28/2024</t>
  </si>
  <si>
    <t>Nidhi Sharma</t>
  </si>
  <si>
    <t>1/29/2024</t>
  </si>
  <si>
    <t>Tarun Verma</t>
  </si>
  <si>
    <t>1/30/2024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</si>
  <si>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</si>
  <si>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</si>
  <si>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</si>
  <si>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</si>
  <si>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</si>
  <si>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</si>
  <si>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</si>
  <si>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</si>
  <si>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</si>
  <si>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</si>
  <si>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</si>
  <si>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2/13/2024</t>
  </si>
  <si>
    <t>Harsh Yadav</t>
  </si>
  <si>
    <t>2/14/2024</t>
  </si>
  <si>
    <t>Kajal Rani</t>
  </si>
  <si>
    <t>2/16/2024</t>
  </si>
  <si>
    <t>Varun Sharma</t>
  </si>
  <si>
    <t>2/17/2024</t>
  </si>
  <si>
    <t>Swati Arora</t>
  </si>
  <si>
    <t>2/18/2024</t>
  </si>
  <si>
    <t>Akhil Jain</t>
  </si>
  <si>
    <t>2/19/2024</t>
  </si>
  <si>
    <t>Priyanka Das</t>
  </si>
  <si>
    <t>2/21/2024</t>
  </si>
  <si>
    <t>Ravi Nair</t>
  </si>
  <si>
    <t>2/22/2024</t>
  </si>
  <si>
    <t>Komal Singh</t>
  </si>
  <si>
    <t>2/23/2024</t>
  </si>
  <si>
    <t>Ayesha Khan</t>
  </si>
  <si>
    <t>2/25/2024</t>
  </si>
  <si>
    <t>Arjun Mehta</t>
  </si>
  <si>
    <t>2/26/2024</t>
  </si>
  <si>
    <t>Sonali Gupta</t>
  </si>
  <si>
    <t>2/27/2024</t>
  </si>
  <si>
    <t>Neeraj Kapoor</t>
  </si>
  <si>
    <t>2/28/2024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</si>
  <si>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</si>
  <si>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</si>
  <si>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</si>
  <si>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</si>
  <si>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</si>
  <si>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</si>
  <si>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</si>
  <si>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</si>
  <si>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Question 4.  Count how many customer names are recorded.</t>
  </si>
  <si>
    <r>
      <t xml:space="preserve">There are </t>
    </r>
    <r>
      <rPr>
        <b/>
        <sz val="11"/>
        <color rgb="FF000000"/>
        <rFont val="Calibri"/>
        <family val="2"/>
      </rPr>
      <t xml:space="preserve">50 </t>
    </r>
    <r>
      <rPr>
        <sz val="11"/>
        <color rgb="FF000000"/>
        <rFont val="Calibri"/>
        <family val="2"/>
      </rPr>
      <t>customer names are recorded in given list.</t>
    </r>
  </si>
  <si>
    <t>5.  Calculate the Total Sales for each row using a formula.</t>
  </si>
  <si>
    <t>6.  Calculate the total sales of Notebooks in the north region only.</t>
  </si>
  <si>
    <t>Answer</t>
  </si>
  <si>
    <t xml:space="preserve">7.  Create a column chart showing total sales by product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</si>
</sst>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theme="1"/>
      <name val="Aptos Narrow"/>
      <family val="2"/>
      <scheme val="minor"/>
    </font>
    <font>
      <b/>
      <sz val="14"/>
      <color rgb="FFFF0000"/>
      <name val="Calibri"/>
      <family val="2"/>
    </font>
    <font>
      <sz val="11"/>
      <color rgb="FF242424"/>
      <name val="Aptos Narrow"/>
      <family val="2"/>
      <scheme val="minor"/>
    </font>
    <font>
      <b/>
      <u/>
      <sz val="11"/>
      <color rgb="FF000000"/>
      <name val="Calibri"/>
      <family val="2"/>
    </font>
    <font>
      <b/>
      <sz val="11"/>
      <color rgb="FF242424"/>
      <name val="Aptos Narrow"/>
      <family val="2"/>
      <scheme val="minor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7" fillId="0" borderId="0" xfId="0" applyFont="1"/>
    <xf numFmtId="0" fontId="2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9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0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2" fillId="0" borderId="0" xfId="0" applyFont="1"/>
    <xf numFmtId="0" fontId="1" fillId="0" borderId="0" xfId="0" applyFont="1"/>
    <xf numFmtId="0" fontId="1" fillId="0" borderId="2" xfId="0" applyFont="1" applyBorder="1"/>
    <xf numFmtId="0" fontId="2" fillId="0" borderId="1" xfId="0" applyFont="1" applyBorder="1" applyAlignment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/>
    <xf numFmtId="0" fontId="2" fillId="0" borderId="0" xfId="0" applyFont="1" applyAlignment="1">
      <alignment horizontal="left" wrapText="1"/>
    </xf>
    <xf numFmtId="0" fontId="1" fillId="4" borderId="0" xfId="0" applyFont="1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/>
    <xf numFmtId="0" fontId="8" fillId="0" borderId="3" xfId="0" applyFont="1" applyBorder="1" applyAlignment="1">
      <alignment horizontal="center"/>
    </xf>
    <xf numFmtId="0" fontId="1" fillId="0" borderId="1" xfId="0" applyFont="1" applyBorder="1" applyAlignment="1"/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0" fillId="5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/>
    <xf numFmtId="0" fontId="1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54555359"/>
        <c:axId val="1454531839"/>
        <c:axId val="0"/>
      </c:bar3DChart>
      <c:catAx>
        <c:axId val="1454555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531839"/>
        <c:crosses val="autoZero"/>
        <c:auto val="1"/>
        <c:lblAlgn val="ctr"/>
        <c:lblOffset val="100"/>
        <c:noMultiLvlLbl val="0"/>
      </c:catAx>
      <c:valAx>
        <c:axId val="14545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55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203866057385549E-2"/>
          <c:y val="2.2533414092469211E-2"/>
          <c:w val="0.9004684716867859"/>
          <c:h val="0.64392424793054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7'!$H$1</c:f>
              <c:strCache>
                <c:ptCount val="1"/>
                <c:pt idx="0">
                  <c:v>Sales</c:v>
                </c:pt>
              </c:strCache>
            </c:strRef>
          </c:tx>
          <c:spPr>
            <a:pattFill prst="ltUpDiag">
              <a:fgClr>
                <a:schemeClr val="accent4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7'!$D$2:$D$51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'Question 7'!$H$2:$H$51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9-4631-A0C6-C550D5C39B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427910847"/>
        <c:axId val="1427888767"/>
      </c:barChart>
      <c:catAx>
        <c:axId val="142791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88767"/>
        <c:crosses val="autoZero"/>
        <c:auto val="1"/>
        <c:lblAlgn val="ctr"/>
        <c:lblOffset val="100"/>
        <c:noMultiLvlLbl val="0"/>
      </c:catAx>
      <c:valAx>
        <c:axId val="1427888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91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'Question 8'!$H$1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8'!$G$2:$G$51</c:f>
              <c:strCache>
                <c:ptCount val="50"/>
                <c:pt idx="0">
                  <c:v>01-05-2024</c:v>
                </c:pt>
                <c:pt idx="1">
                  <c:v>01-06-2024</c:v>
                </c:pt>
                <c:pt idx="2">
                  <c:v>01-07-2024</c:v>
                </c:pt>
                <c:pt idx="3">
                  <c:v>01-08-2024</c:v>
                </c:pt>
                <c:pt idx="4">
                  <c:v>01-10-2024</c:v>
                </c:pt>
                <c:pt idx="5">
                  <c:v>01-11-2024</c:v>
                </c:pt>
                <c:pt idx="6">
                  <c:v>1/13/2024</c:v>
                </c:pt>
                <c:pt idx="7">
                  <c:v>1/15/2024</c:v>
                </c:pt>
                <c:pt idx="8">
                  <c:v>1/17/2024</c:v>
                </c:pt>
                <c:pt idx="9">
                  <c:v>1/18/2024</c:v>
                </c:pt>
                <c:pt idx="10">
                  <c:v>1/19/2024</c:v>
                </c:pt>
                <c:pt idx="11">
                  <c:v>1/20/2024</c:v>
                </c:pt>
                <c:pt idx="12">
                  <c:v>1/22/2024</c:v>
                </c:pt>
                <c:pt idx="13">
                  <c:v>1/23/2024</c:v>
                </c:pt>
                <c:pt idx="14">
                  <c:v>1/24/2024</c:v>
                </c:pt>
                <c:pt idx="15">
                  <c:v>1/26/2024</c:v>
                </c:pt>
                <c:pt idx="16">
                  <c:v>1/28/2024</c:v>
                </c:pt>
                <c:pt idx="17">
                  <c:v>1/29/2024</c:v>
                </c:pt>
                <c:pt idx="18">
                  <c:v>1/30/2024</c:v>
                </c:pt>
                <c:pt idx="19">
                  <c:v>02-01-2024</c:v>
                </c:pt>
                <c:pt idx="20">
                  <c:v>02-02-2024</c:v>
                </c:pt>
                <c:pt idx="21">
                  <c:v>02-03-2024</c:v>
                </c:pt>
                <c:pt idx="22">
                  <c:v>02-04-2024</c:v>
                </c:pt>
                <c:pt idx="23">
                  <c:v>02-06-2024</c:v>
                </c:pt>
                <c:pt idx="24">
                  <c:v>02-07-2024</c:v>
                </c:pt>
                <c:pt idx="25">
                  <c:v>02-08-2024</c:v>
                </c:pt>
                <c:pt idx="26">
                  <c:v>02-09-2024</c:v>
                </c:pt>
                <c:pt idx="27">
                  <c:v>02-10-2024</c:v>
                </c:pt>
                <c:pt idx="28">
                  <c:v>02-12-2024</c:v>
                </c:pt>
                <c:pt idx="29">
                  <c:v>2/13/2024</c:v>
                </c:pt>
                <c:pt idx="30">
                  <c:v>2/14/2024</c:v>
                </c:pt>
                <c:pt idx="31">
                  <c:v>2/16/2024</c:v>
                </c:pt>
                <c:pt idx="32">
                  <c:v>2/17/2024</c:v>
                </c:pt>
                <c:pt idx="33">
                  <c:v>2/18/2024</c:v>
                </c:pt>
                <c:pt idx="34">
                  <c:v>2/19/2024</c:v>
                </c:pt>
                <c:pt idx="35">
                  <c:v>2/21/2024</c:v>
                </c:pt>
                <c:pt idx="36">
                  <c:v>2/22/2024</c:v>
                </c:pt>
                <c:pt idx="37">
                  <c:v>2/23/2024</c:v>
                </c:pt>
                <c:pt idx="38">
                  <c:v>2/25/2024</c:v>
                </c:pt>
                <c:pt idx="39">
                  <c:v>2/26/2024</c:v>
                </c:pt>
                <c:pt idx="40">
                  <c:v>2/27/2024</c:v>
                </c:pt>
                <c:pt idx="41">
                  <c:v>2/28/2024</c:v>
                </c:pt>
                <c:pt idx="42">
                  <c:v>03-01-2024</c:v>
                </c:pt>
                <c:pt idx="43">
                  <c:v>03-02-2024</c:v>
                </c:pt>
                <c:pt idx="44">
                  <c:v>03-03-2024</c:v>
                </c:pt>
                <c:pt idx="45">
                  <c:v>03-04-2024</c:v>
                </c:pt>
                <c:pt idx="46">
                  <c:v>03-05-2024</c:v>
                </c:pt>
                <c:pt idx="47">
                  <c:v>03-06-2024</c:v>
                </c:pt>
                <c:pt idx="48">
                  <c:v>03-07-2024</c:v>
                </c:pt>
                <c:pt idx="49">
                  <c:v>03-08-2024</c:v>
                </c:pt>
              </c:strCache>
            </c:strRef>
          </c:cat>
          <c:val>
            <c:numRef>
              <c:f>'Question 8'!$H$2:$H$51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3-4911-BF7E-F636FBBF2C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2800639"/>
        <c:axId val="1702802079"/>
      </c:lineChart>
      <c:catAx>
        <c:axId val="17028006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02079"/>
        <c:crosses val="autoZero"/>
        <c:auto val="1"/>
        <c:lblAlgn val="ctr"/>
        <c:lblOffset val="100"/>
        <c:noMultiLvlLbl val="0"/>
      </c:catAx>
      <c:valAx>
        <c:axId val="17028020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0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209548</xdr:colOff>
      <xdr:row>58</xdr:row>
      <xdr:rowOff>175415</xdr:rowOff>
    </xdr:from>
    <xdr:to>
      <xdr:col>53</xdr:col>
      <xdr:colOff>187667</xdr:colOff>
      <xdr:row>63</xdr:row>
      <xdr:rowOff>143905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B33EE-6B34-0BB8-85EA-E1E1BAC2F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28576</xdr:colOff>
      <xdr:row>3</xdr:row>
      <xdr:rowOff>38100</xdr:rowOff>
    </xdr:from>
    <xdr:to>
      <xdr:col>19</xdr:col>
      <xdr:colOff>9525</xdr:colOff>
      <xdr:row>24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B94F2A-D8B5-9E0A-EB42-8E99C11AD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3</xdr:row>
      <xdr:rowOff>190499</xdr:rowOff>
    </xdr:from>
    <xdr:to>
      <xdr:col>20</xdr:col>
      <xdr:colOff>504825</xdr:colOff>
      <xdr:row>24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D078C-9163-005D-F017-0E03CD676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3D74-E53B-45DD-BA70-FEB034760EF1}">
  <dimension ref="B2:N27"/>
  <sheetViews>
    <sheetView zoomScale="81" workbookViewId="0">
      <selection activeCell="G18" sqref="G18"/>
    </sheetView>
  </sheetViews>
  <sheetFormatPr defaultRowHeight="15" x14ac:dyDescent="0.25"/>
  <cols>
    <col min="3" max="3" width="16.42578125" customWidth="1"/>
  </cols>
  <sheetData>
    <row r="2" spans="2:10" x14ac:dyDescent="0.25">
      <c r="B2" s="1"/>
      <c r="C2" s="3" t="s">
        <v>3</v>
      </c>
      <c r="D2" s="3"/>
      <c r="E2" s="3"/>
      <c r="F2" s="3"/>
      <c r="G2" s="3"/>
      <c r="H2" s="3"/>
      <c r="I2" s="3"/>
      <c r="J2" s="3"/>
    </row>
    <row r="3" spans="2:10" x14ac:dyDescent="0.25">
      <c r="B3" s="1"/>
      <c r="C3" s="3"/>
      <c r="D3" s="3"/>
      <c r="E3" s="3"/>
      <c r="F3" s="3"/>
      <c r="G3" s="3"/>
      <c r="H3" s="3"/>
      <c r="I3" s="3"/>
      <c r="J3" s="3"/>
    </row>
    <row r="4" spans="2:10" x14ac:dyDescent="0.25">
      <c r="B4" s="1"/>
      <c r="C4" s="1"/>
      <c r="E4" s="1"/>
      <c r="F4" s="1"/>
      <c r="G4" s="1"/>
      <c r="H4" s="1"/>
      <c r="I4" s="1"/>
      <c r="J4" s="1"/>
    </row>
    <row r="5" spans="2:10" ht="15.75" x14ac:dyDescent="0.25">
      <c r="B5" s="1"/>
      <c r="C5" s="5" t="s">
        <v>4</v>
      </c>
      <c r="D5" s="1" t="s">
        <v>0</v>
      </c>
    </row>
    <row r="6" spans="2:10" x14ac:dyDescent="0.25">
      <c r="B6" s="1"/>
      <c r="C6" s="1"/>
      <c r="D6" s="1"/>
      <c r="E6" s="1"/>
      <c r="F6" s="1"/>
      <c r="G6" s="1"/>
      <c r="H6" s="1"/>
      <c r="I6" s="1"/>
    </row>
    <row r="7" spans="2:10" x14ac:dyDescent="0.25">
      <c r="B7" s="1"/>
      <c r="C7" s="1"/>
      <c r="D7" s="1" t="s">
        <v>1</v>
      </c>
      <c r="E7" s="1"/>
      <c r="F7" s="1"/>
      <c r="G7" s="1"/>
      <c r="H7" s="1"/>
      <c r="I7" s="1"/>
    </row>
    <row r="8" spans="2:10" x14ac:dyDescent="0.25">
      <c r="B8" s="1"/>
      <c r="C8" s="1"/>
      <c r="D8" s="1"/>
      <c r="E8" s="1"/>
      <c r="F8" s="1"/>
      <c r="G8" s="1"/>
      <c r="H8" s="1"/>
      <c r="I8" s="1"/>
    </row>
    <row r="9" spans="2:10" x14ac:dyDescent="0.25">
      <c r="B9" s="1"/>
      <c r="C9" s="1"/>
      <c r="D9" s="1" t="s">
        <v>2</v>
      </c>
      <c r="E9" s="1"/>
      <c r="F9" s="1"/>
      <c r="G9" s="1"/>
      <c r="H9" s="1"/>
      <c r="I9" s="1"/>
    </row>
    <row r="10" spans="2:10" x14ac:dyDescent="0.25">
      <c r="C10" s="1"/>
      <c r="D10" s="1"/>
      <c r="E10" s="1"/>
      <c r="F10" s="1"/>
      <c r="G10" s="1"/>
      <c r="H10" s="1"/>
      <c r="I10" s="1"/>
    </row>
    <row r="15" spans="2:10" x14ac:dyDescent="0.25">
      <c r="C15" s="1"/>
      <c r="D15" s="1"/>
      <c r="E15" s="1"/>
      <c r="F15" s="1"/>
      <c r="G15" s="1"/>
      <c r="H15" s="1"/>
      <c r="I15" s="1"/>
    </row>
    <row r="16" spans="2:10" x14ac:dyDescent="0.25">
      <c r="C16" s="1"/>
      <c r="D16" s="1"/>
      <c r="E16" s="1"/>
      <c r="F16" s="1"/>
      <c r="G16" s="1"/>
      <c r="H16" s="1"/>
      <c r="I16" s="1"/>
    </row>
    <row r="17" spans="3:14" x14ac:dyDescent="0.25">
      <c r="C17" s="1"/>
      <c r="D17" s="1"/>
      <c r="E17" s="1"/>
      <c r="F17" s="1"/>
      <c r="G17" s="1"/>
      <c r="H17" s="1"/>
      <c r="I17" s="1"/>
    </row>
    <row r="18" spans="3:14" x14ac:dyDescent="0.25">
      <c r="C18" s="1"/>
      <c r="D18" s="1"/>
      <c r="E18" s="1"/>
      <c r="F18" s="1"/>
      <c r="G18" s="1"/>
      <c r="H18" s="1"/>
      <c r="I18" s="1"/>
    </row>
    <row r="19" spans="3:14" x14ac:dyDescent="0.25">
      <c r="C19" s="1"/>
      <c r="D19" s="1"/>
      <c r="E19" s="1"/>
      <c r="F19" s="1"/>
      <c r="G19" s="1"/>
      <c r="H19" s="1"/>
      <c r="I19" s="1"/>
    </row>
    <row r="23" spans="3:14" ht="21" x14ac:dyDescent="0.35">
      <c r="G23" s="4"/>
      <c r="H23" s="1"/>
      <c r="I23" s="1"/>
      <c r="J23" s="1"/>
      <c r="K23" s="1"/>
      <c r="L23" s="1"/>
      <c r="M23" s="1"/>
      <c r="N23" s="1"/>
    </row>
    <row r="24" spans="3:14" x14ac:dyDescent="0.25">
      <c r="G24" s="1"/>
      <c r="H24" s="1"/>
      <c r="I24" s="1"/>
      <c r="J24" s="1"/>
      <c r="K24" s="1"/>
      <c r="L24" s="1"/>
      <c r="M24" s="1"/>
      <c r="N24" s="1"/>
    </row>
    <row r="25" spans="3:14" x14ac:dyDescent="0.25">
      <c r="G25" s="1"/>
      <c r="H25" s="1"/>
      <c r="I25" s="1"/>
      <c r="J25" s="1"/>
      <c r="K25" s="1"/>
      <c r="L25" s="1"/>
      <c r="M25" s="1"/>
      <c r="N25" s="1"/>
    </row>
    <row r="26" spans="3:14" x14ac:dyDescent="0.25">
      <c r="G26" s="1"/>
      <c r="H26" s="1"/>
      <c r="I26" s="1"/>
      <c r="J26" s="1"/>
      <c r="K26" s="1"/>
      <c r="L26" s="1"/>
      <c r="M26" s="1"/>
      <c r="N26" s="1"/>
    </row>
    <row r="27" spans="3:14" x14ac:dyDescent="0.25">
      <c r="G27" s="1"/>
      <c r="H27" s="1"/>
      <c r="I27" s="1"/>
      <c r="J27" s="1"/>
      <c r="K27" s="1"/>
      <c r="L27" s="1"/>
      <c r="M27" s="1"/>
      <c r="N27" s="1"/>
    </row>
  </sheetData>
  <mergeCells count="1">
    <mergeCell ref="C2:J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91E5-EF21-466E-B5CC-7885AB8BE299}">
  <dimension ref="D4:J11"/>
  <sheetViews>
    <sheetView workbookViewId="0">
      <selection activeCell="E11" sqref="E11"/>
    </sheetView>
  </sheetViews>
  <sheetFormatPr defaultRowHeight="15" x14ac:dyDescent="0.25"/>
  <cols>
    <col min="10" max="10" width="23.140625" customWidth="1"/>
  </cols>
  <sheetData>
    <row r="4" spans="4:10" x14ac:dyDescent="0.25">
      <c r="D4" s="11" t="s">
        <v>11</v>
      </c>
      <c r="E4" s="11"/>
      <c r="F4" s="11"/>
      <c r="G4" s="11"/>
      <c r="H4" s="11"/>
      <c r="I4" s="11"/>
      <c r="J4" s="11"/>
    </row>
    <row r="5" spans="4:10" x14ac:dyDescent="0.25">
      <c r="D5" s="11"/>
      <c r="E5" s="11"/>
      <c r="F5" s="11"/>
      <c r="G5" s="11"/>
      <c r="H5" s="11"/>
      <c r="I5" s="11"/>
      <c r="J5" s="11"/>
    </row>
    <row r="6" spans="4:10" ht="18.75" x14ac:dyDescent="0.3">
      <c r="D6" s="2" t="s">
        <v>5</v>
      </c>
      <c r="E6" s="6" t="s">
        <v>6</v>
      </c>
      <c r="F6" s="7" t="s">
        <v>7</v>
      </c>
      <c r="G6" s="1"/>
      <c r="H6" s="1"/>
      <c r="I6" s="1"/>
      <c r="J6" s="1"/>
    </row>
    <row r="7" spans="4:10" x14ac:dyDescent="0.25">
      <c r="D7" s="1" t="s">
        <v>8</v>
      </c>
      <c r="E7" s="8">
        <v>500000</v>
      </c>
      <c r="F7" s="10">
        <f>SUM(E7:E8)</f>
        <v>510500</v>
      </c>
      <c r="G7" s="1"/>
      <c r="H7" s="1"/>
      <c r="I7" s="1"/>
      <c r="J7" s="1"/>
    </row>
    <row r="8" spans="4:10" x14ac:dyDescent="0.25">
      <c r="D8" s="1" t="s">
        <v>9</v>
      </c>
      <c r="E8" s="8">
        <v>10500</v>
      </c>
      <c r="F8" s="1"/>
      <c r="G8" s="1"/>
      <c r="H8" s="1"/>
      <c r="I8" s="1"/>
      <c r="J8" s="1"/>
    </row>
    <row r="9" spans="4:10" x14ac:dyDescent="0.25">
      <c r="D9" s="1" t="s">
        <v>10</v>
      </c>
      <c r="E9" s="8">
        <v>25000</v>
      </c>
      <c r="F9" s="1"/>
      <c r="G9" s="1"/>
      <c r="H9" s="1"/>
      <c r="I9" s="1"/>
      <c r="J9" s="1"/>
    </row>
    <row r="10" spans="4:10" x14ac:dyDescent="0.25">
      <c r="D10" s="1"/>
      <c r="E10" s="1"/>
      <c r="F10" s="1"/>
      <c r="G10" s="1"/>
      <c r="H10" s="1"/>
      <c r="I10" s="1"/>
      <c r="J10" s="1"/>
    </row>
    <row r="11" spans="4:10" x14ac:dyDescent="0.25">
      <c r="D11" s="1" t="s">
        <v>12</v>
      </c>
      <c r="E11" s="1"/>
      <c r="F11" s="1"/>
      <c r="G11" s="1"/>
      <c r="H11" s="1"/>
      <c r="I11" s="1"/>
      <c r="J11" s="1"/>
    </row>
  </sheetData>
  <mergeCells count="1">
    <mergeCell ref="D4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5403-7D29-4FEA-BA32-BB34F024B28D}">
  <dimension ref="B2:H10"/>
  <sheetViews>
    <sheetView workbookViewId="0">
      <selection activeCell="B10" sqref="B10"/>
    </sheetView>
  </sheetViews>
  <sheetFormatPr defaultRowHeight="15" x14ac:dyDescent="0.25"/>
  <cols>
    <col min="8" max="8" width="56.140625" customWidth="1"/>
  </cols>
  <sheetData>
    <row r="2" spans="2:8" ht="15" customHeight="1" x14ac:dyDescent="0.25">
      <c r="B2" s="12" t="s">
        <v>13</v>
      </c>
      <c r="C2" s="12"/>
      <c r="D2" s="12"/>
      <c r="E2" s="12"/>
      <c r="F2" s="12"/>
      <c r="G2" s="12"/>
      <c r="H2" s="12"/>
    </row>
    <row r="3" spans="2:8" x14ac:dyDescent="0.25">
      <c r="B3" s="12"/>
      <c r="C3" s="12"/>
      <c r="D3" s="12"/>
      <c r="E3" s="12"/>
      <c r="F3" s="12"/>
      <c r="G3" s="12"/>
      <c r="H3" s="12"/>
    </row>
    <row r="5" spans="2:8" ht="18.75" x14ac:dyDescent="0.3">
      <c r="B5" s="2" t="s">
        <v>14</v>
      </c>
      <c r="C5" s="6" t="s">
        <v>6</v>
      </c>
      <c r="D5" s="6" t="s">
        <v>15</v>
      </c>
      <c r="E5" s="7" t="s">
        <v>7</v>
      </c>
    </row>
    <row r="6" spans="2:8" x14ac:dyDescent="0.25">
      <c r="B6" s="1" t="s">
        <v>16</v>
      </c>
      <c r="C6" s="8">
        <v>90</v>
      </c>
      <c r="D6" s="8">
        <v>1000</v>
      </c>
      <c r="E6" s="13">
        <f>AVERAGEIFS(D6:D8, C6:C8, "&gt;100", C6:C8, "&lt;300")</f>
        <v>1350</v>
      </c>
    </row>
    <row r="7" spans="2:8" x14ac:dyDescent="0.25">
      <c r="B7" s="1" t="s">
        <v>17</v>
      </c>
      <c r="C7" s="8">
        <v>150</v>
      </c>
      <c r="D7" s="8">
        <v>1200</v>
      </c>
      <c r="E7" s="1"/>
    </row>
    <row r="8" spans="2:8" x14ac:dyDescent="0.25">
      <c r="B8" s="1" t="s">
        <v>18</v>
      </c>
      <c r="C8" s="8">
        <v>250</v>
      </c>
      <c r="D8" s="8">
        <v>1500</v>
      </c>
      <c r="E8" s="1"/>
    </row>
    <row r="10" spans="2:8" x14ac:dyDescent="0.25">
      <c r="B10" s="14" t="s">
        <v>19</v>
      </c>
    </row>
  </sheetData>
  <mergeCells count="1">
    <mergeCell ref="B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C8E3-F568-4487-A502-F9FE78927C07}">
  <dimension ref="A1:L51"/>
  <sheetViews>
    <sheetView workbookViewId="0">
      <selection activeCell="H9" sqref="H9:I9"/>
    </sheetView>
  </sheetViews>
  <sheetFormatPr defaultRowHeight="15" x14ac:dyDescent="0.25"/>
  <cols>
    <col min="1" max="1" width="9" customWidth="1"/>
    <col min="2" max="2" width="15.42578125" customWidth="1"/>
    <col min="4" max="4" width="12" customWidth="1"/>
    <col min="7" max="7" width="13.7109375" style="24" customWidth="1"/>
    <col min="12" max="12" width="29.7109375" customWidth="1"/>
  </cols>
  <sheetData>
    <row r="1" spans="1:12" ht="30.75" thickBot="1" x14ac:dyDescent="0.3">
      <c r="A1" s="15" t="s">
        <v>20</v>
      </c>
      <c r="B1" s="15" t="s">
        <v>21</v>
      </c>
      <c r="C1" s="15" t="s">
        <v>22</v>
      </c>
      <c r="D1" s="15" t="s">
        <v>23</v>
      </c>
      <c r="E1" s="15" t="s">
        <v>24</v>
      </c>
      <c r="F1" s="15" t="s">
        <v>25</v>
      </c>
      <c r="G1" s="21" t="s">
        <v>26</v>
      </c>
      <c r="H1" s="20"/>
      <c r="I1" s="19"/>
      <c r="J1" s="1"/>
      <c r="K1" s="1"/>
      <c r="L1" s="1"/>
    </row>
    <row r="2" spans="1:12" ht="15.75" thickBot="1" x14ac:dyDescent="0.3">
      <c r="A2" s="16">
        <v>1001</v>
      </c>
      <c r="B2" s="17" t="s">
        <v>27</v>
      </c>
      <c r="C2" s="17" t="s">
        <v>28</v>
      </c>
      <c r="D2" s="17" t="s">
        <v>29</v>
      </c>
      <c r="E2" s="16">
        <v>10</v>
      </c>
      <c r="F2" s="16">
        <v>50</v>
      </c>
      <c r="G2" s="22">
        <v>45413</v>
      </c>
      <c r="H2" s="1"/>
      <c r="I2" s="25" t="s">
        <v>113</v>
      </c>
      <c r="J2" s="25"/>
      <c r="K2" s="25"/>
      <c r="L2" s="25"/>
    </row>
    <row r="3" spans="1:12" ht="15.75" thickBot="1" x14ac:dyDescent="0.3">
      <c r="A3" s="16">
        <v>1002</v>
      </c>
      <c r="B3" s="17" t="s">
        <v>30</v>
      </c>
      <c r="C3" s="17" t="s">
        <v>31</v>
      </c>
      <c r="D3" s="17" t="s">
        <v>32</v>
      </c>
      <c r="E3" s="16">
        <v>20</v>
      </c>
      <c r="F3" s="16">
        <v>10</v>
      </c>
      <c r="G3" s="22">
        <v>45444</v>
      </c>
      <c r="H3" s="20"/>
      <c r="I3" s="19"/>
      <c r="J3" s="1"/>
      <c r="K3" s="1"/>
      <c r="L3" s="1"/>
    </row>
    <row r="4" spans="1:12" ht="16.5" thickBot="1" x14ac:dyDescent="0.3">
      <c r="A4" s="16">
        <v>1003</v>
      </c>
      <c r="B4" s="17" t="s">
        <v>33</v>
      </c>
      <c r="C4" s="17" t="s">
        <v>34</v>
      </c>
      <c r="D4" s="17" t="s">
        <v>35</v>
      </c>
      <c r="E4" s="16">
        <v>15</v>
      </c>
      <c r="F4" s="16">
        <v>25</v>
      </c>
      <c r="G4" s="22">
        <v>45474</v>
      </c>
      <c r="H4" s="1"/>
      <c r="I4" s="18" t="s">
        <v>36</v>
      </c>
      <c r="J4" s="26" t="s">
        <v>114</v>
      </c>
      <c r="K4" s="1"/>
      <c r="L4" s="1"/>
    </row>
    <row r="5" spans="1:12" ht="15.75" thickBot="1" x14ac:dyDescent="0.3">
      <c r="A5" s="16">
        <v>1004</v>
      </c>
      <c r="B5" s="17" t="s">
        <v>37</v>
      </c>
      <c r="C5" s="17" t="s">
        <v>38</v>
      </c>
      <c r="D5" s="17" t="s">
        <v>29</v>
      </c>
      <c r="E5" s="16">
        <v>5</v>
      </c>
      <c r="F5" s="16">
        <v>50</v>
      </c>
      <c r="G5" s="22">
        <v>45505</v>
      </c>
      <c r="H5" s="20"/>
      <c r="I5" s="19"/>
      <c r="J5" s="1"/>
      <c r="K5" s="1"/>
      <c r="L5" s="1"/>
    </row>
    <row r="6" spans="1:12" ht="15.75" thickBot="1" x14ac:dyDescent="0.3">
      <c r="A6" s="16">
        <v>1005</v>
      </c>
      <c r="B6" s="17" t="s">
        <v>39</v>
      </c>
      <c r="C6" s="17" t="s">
        <v>28</v>
      </c>
      <c r="D6" s="17" t="s">
        <v>40</v>
      </c>
      <c r="E6" s="16">
        <v>30</v>
      </c>
      <c r="F6" s="16">
        <v>5</v>
      </c>
      <c r="G6" s="22">
        <v>45566</v>
      </c>
      <c r="H6" s="20"/>
      <c r="I6" s="19"/>
      <c r="J6" s="1"/>
      <c r="K6" s="1"/>
      <c r="L6" s="1"/>
    </row>
    <row r="7" spans="1:12" ht="15.75" thickBot="1" x14ac:dyDescent="0.3">
      <c r="A7" s="16">
        <v>1006</v>
      </c>
      <c r="B7" s="17" t="s">
        <v>41</v>
      </c>
      <c r="C7" s="17" t="s">
        <v>31</v>
      </c>
      <c r="D7" s="17" t="s">
        <v>29</v>
      </c>
      <c r="E7" s="16">
        <v>12</v>
      </c>
      <c r="F7" s="16">
        <v>50</v>
      </c>
      <c r="G7" s="22">
        <v>45597</v>
      </c>
      <c r="H7" s="20"/>
      <c r="I7" s="19"/>
      <c r="J7" s="1"/>
      <c r="K7" s="1"/>
      <c r="L7" s="1"/>
    </row>
    <row r="8" spans="1:12" ht="15.75" thickBot="1" x14ac:dyDescent="0.3">
      <c r="A8" s="16">
        <v>1007</v>
      </c>
      <c r="B8" s="17" t="s">
        <v>42</v>
      </c>
      <c r="C8" s="17" t="s">
        <v>34</v>
      </c>
      <c r="D8" s="17" t="s">
        <v>43</v>
      </c>
      <c r="E8" s="16">
        <v>25</v>
      </c>
      <c r="F8" s="16">
        <v>8</v>
      </c>
      <c r="G8" s="23" t="s">
        <v>44</v>
      </c>
      <c r="H8" s="20"/>
      <c r="I8" s="19"/>
      <c r="J8" s="1"/>
      <c r="K8" s="1"/>
      <c r="L8" s="1"/>
    </row>
    <row r="9" spans="1:12" ht="15.75" thickBot="1" x14ac:dyDescent="0.3">
      <c r="A9" s="16">
        <v>1008</v>
      </c>
      <c r="B9" s="17" t="s">
        <v>45</v>
      </c>
      <c r="C9" s="17" t="s">
        <v>38</v>
      </c>
      <c r="D9" s="17" t="s">
        <v>32</v>
      </c>
      <c r="E9" s="16">
        <v>18</v>
      </c>
      <c r="F9" s="16">
        <v>10</v>
      </c>
      <c r="G9" s="23" t="s">
        <v>46</v>
      </c>
      <c r="H9" s="20"/>
      <c r="I9" s="19"/>
      <c r="J9" s="1"/>
      <c r="K9" s="1"/>
      <c r="L9" s="1"/>
    </row>
    <row r="10" spans="1:12" ht="15.75" thickBot="1" x14ac:dyDescent="0.3">
      <c r="A10" s="16">
        <v>1009</v>
      </c>
      <c r="B10" s="17" t="s">
        <v>47</v>
      </c>
      <c r="C10" s="17" t="s">
        <v>28</v>
      </c>
      <c r="D10" s="17" t="s">
        <v>35</v>
      </c>
      <c r="E10" s="16">
        <v>22</v>
      </c>
      <c r="F10" s="16">
        <v>25</v>
      </c>
      <c r="G10" s="23" t="s">
        <v>48</v>
      </c>
      <c r="H10" s="20"/>
      <c r="I10" s="19"/>
      <c r="J10" s="1"/>
      <c r="K10" s="1"/>
      <c r="L10" s="1"/>
    </row>
    <row r="11" spans="1:12" ht="15.75" thickBot="1" x14ac:dyDescent="0.3">
      <c r="A11" s="16">
        <v>1010</v>
      </c>
      <c r="B11" s="17" t="s">
        <v>49</v>
      </c>
      <c r="C11" s="17" t="s">
        <v>31</v>
      </c>
      <c r="D11" s="17" t="s">
        <v>29</v>
      </c>
      <c r="E11" s="16">
        <v>8</v>
      </c>
      <c r="F11" s="16">
        <v>50</v>
      </c>
      <c r="G11" s="23" t="s">
        <v>50</v>
      </c>
      <c r="H11" s="20"/>
      <c r="I11" s="19"/>
      <c r="J11" s="1"/>
      <c r="K11" s="1"/>
      <c r="L11" s="1"/>
    </row>
    <row r="12" spans="1:12" ht="15.75" thickBot="1" x14ac:dyDescent="0.3">
      <c r="A12" s="16">
        <v>1011</v>
      </c>
      <c r="B12" s="17" t="s">
        <v>51</v>
      </c>
      <c r="C12" s="17" t="s">
        <v>34</v>
      </c>
      <c r="D12" s="17" t="s">
        <v>40</v>
      </c>
      <c r="E12" s="16">
        <v>40</v>
      </c>
      <c r="F12" s="16">
        <v>5</v>
      </c>
      <c r="G12" s="23" t="s">
        <v>52</v>
      </c>
      <c r="H12" s="20"/>
      <c r="I12" s="19"/>
      <c r="J12" s="1"/>
      <c r="K12" s="1"/>
      <c r="L12" s="1"/>
    </row>
    <row r="13" spans="1:12" ht="15.75" thickBot="1" x14ac:dyDescent="0.3">
      <c r="A13" s="16">
        <v>1012</v>
      </c>
      <c r="B13" s="17" t="s">
        <v>53</v>
      </c>
      <c r="C13" s="17" t="s">
        <v>38</v>
      </c>
      <c r="D13" s="17" t="s">
        <v>43</v>
      </c>
      <c r="E13" s="16">
        <v>35</v>
      </c>
      <c r="F13" s="16">
        <v>8</v>
      </c>
      <c r="G13" s="23" t="s">
        <v>54</v>
      </c>
      <c r="H13" s="20"/>
      <c r="I13" s="19"/>
      <c r="J13" s="1"/>
      <c r="K13" s="1"/>
      <c r="L13" s="1"/>
    </row>
    <row r="14" spans="1:12" ht="15.75" thickBot="1" x14ac:dyDescent="0.3">
      <c r="A14" s="16">
        <v>1013</v>
      </c>
      <c r="B14" s="17" t="s">
        <v>55</v>
      </c>
      <c r="C14" s="17" t="s">
        <v>28</v>
      </c>
      <c r="D14" s="17" t="s">
        <v>29</v>
      </c>
      <c r="E14" s="16">
        <v>14</v>
      </c>
      <c r="F14" s="16">
        <v>50</v>
      </c>
      <c r="G14" s="23" t="s">
        <v>56</v>
      </c>
      <c r="H14" s="20"/>
      <c r="I14" s="19"/>
      <c r="J14" s="1"/>
      <c r="K14" s="1"/>
      <c r="L14" s="1"/>
    </row>
    <row r="15" spans="1:12" ht="15.75" thickBot="1" x14ac:dyDescent="0.3">
      <c r="A15" s="16">
        <v>1014</v>
      </c>
      <c r="B15" s="17" t="s">
        <v>57</v>
      </c>
      <c r="C15" s="17" t="s">
        <v>31</v>
      </c>
      <c r="D15" s="17" t="s">
        <v>32</v>
      </c>
      <c r="E15" s="16">
        <v>28</v>
      </c>
      <c r="F15" s="16">
        <v>10</v>
      </c>
      <c r="G15" s="23" t="s">
        <v>58</v>
      </c>
      <c r="H15" s="20"/>
      <c r="I15" s="19"/>
      <c r="J15" s="1"/>
      <c r="K15" s="1"/>
      <c r="L15" s="1"/>
    </row>
    <row r="16" spans="1:12" ht="15.75" thickBot="1" x14ac:dyDescent="0.3">
      <c r="A16" s="16">
        <v>1015</v>
      </c>
      <c r="B16" s="17" t="s">
        <v>59</v>
      </c>
      <c r="C16" s="17" t="s">
        <v>34</v>
      </c>
      <c r="D16" s="17" t="s">
        <v>35</v>
      </c>
      <c r="E16" s="16">
        <v>12</v>
      </c>
      <c r="F16" s="16">
        <v>25</v>
      </c>
      <c r="G16" s="23" t="s">
        <v>60</v>
      </c>
      <c r="H16" s="20"/>
      <c r="I16" s="19"/>
      <c r="J16" s="1"/>
      <c r="K16" s="1"/>
      <c r="L16" s="1"/>
    </row>
    <row r="17" spans="1:12" ht="15.75" thickBot="1" x14ac:dyDescent="0.3">
      <c r="A17" s="16">
        <v>1016</v>
      </c>
      <c r="B17" s="17" t="s">
        <v>61</v>
      </c>
      <c r="C17" s="17" t="s">
        <v>38</v>
      </c>
      <c r="D17" s="17" t="s">
        <v>40</v>
      </c>
      <c r="E17" s="16">
        <v>25</v>
      </c>
      <c r="F17" s="16">
        <v>5</v>
      </c>
      <c r="G17" s="23" t="s">
        <v>62</v>
      </c>
      <c r="H17" s="20"/>
      <c r="I17" s="19"/>
      <c r="J17" s="1"/>
      <c r="K17" s="1"/>
      <c r="L17" s="1"/>
    </row>
    <row r="18" spans="1:12" ht="15.75" thickBot="1" x14ac:dyDescent="0.3">
      <c r="A18" s="16">
        <v>1017</v>
      </c>
      <c r="B18" s="17" t="s">
        <v>63</v>
      </c>
      <c r="C18" s="17" t="s">
        <v>28</v>
      </c>
      <c r="D18" s="17" t="s">
        <v>43</v>
      </c>
      <c r="E18" s="16">
        <v>20</v>
      </c>
      <c r="F18" s="16">
        <v>8</v>
      </c>
      <c r="G18" s="23" t="s">
        <v>64</v>
      </c>
      <c r="H18" s="20"/>
      <c r="I18" s="19"/>
      <c r="J18" s="1"/>
      <c r="K18" s="1"/>
      <c r="L18" s="1"/>
    </row>
    <row r="19" spans="1:12" ht="15.75" thickBot="1" x14ac:dyDescent="0.3">
      <c r="A19" s="16">
        <v>1018</v>
      </c>
      <c r="B19" s="17" t="s">
        <v>65</v>
      </c>
      <c r="C19" s="17" t="s">
        <v>31</v>
      </c>
      <c r="D19" s="17" t="s">
        <v>29</v>
      </c>
      <c r="E19" s="16">
        <v>10</v>
      </c>
      <c r="F19" s="16">
        <v>50</v>
      </c>
      <c r="G19" s="23" t="s">
        <v>66</v>
      </c>
      <c r="H19" s="20"/>
      <c r="I19" s="19"/>
      <c r="J19" s="1"/>
      <c r="K19" s="1"/>
      <c r="L19" s="1"/>
    </row>
    <row r="20" spans="1:12" ht="15.75" thickBot="1" x14ac:dyDescent="0.3">
      <c r="A20" s="16">
        <v>1019</v>
      </c>
      <c r="B20" s="17" t="s">
        <v>67</v>
      </c>
      <c r="C20" s="17" t="s">
        <v>34</v>
      </c>
      <c r="D20" s="17" t="s">
        <v>32</v>
      </c>
      <c r="E20" s="16">
        <v>15</v>
      </c>
      <c r="F20" s="16">
        <v>10</v>
      </c>
      <c r="G20" s="23" t="s">
        <v>68</v>
      </c>
      <c r="H20" s="20"/>
      <c r="I20" s="19"/>
      <c r="J20" s="1"/>
      <c r="K20" s="1"/>
      <c r="L20" s="1"/>
    </row>
    <row r="21" spans="1:12" ht="15.75" thickBot="1" x14ac:dyDescent="0.3">
      <c r="A21" s="16">
        <v>1020</v>
      </c>
      <c r="B21" s="17" t="s">
        <v>69</v>
      </c>
      <c r="C21" s="17" t="s">
        <v>38</v>
      </c>
      <c r="D21" s="17" t="s">
        <v>35</v>
      </c>
      <c r="E21" s="16">
        <v>18</v>
      </c>
      <c r="F21" s="16">
        <v>25</v>
      </c>
      <c r="G21" s="22">
        <v>45293</v>
      </c>
      <c r="H21" s="20"/>
      <c r="I21" s="19"/>
      <c r="J21" s="1"/>
      <c r="K21" s="1"/>
      <c r="L21" s="1"/>
    </row>
    <row r="22" spans="1:12" ht="15.75" thickBot="1" x14ac:dyDescent="0.3">
      <c r="A22" s="16">
        <v>1021</v>
      </c>
      <c r="B22" s="17" t="s">
        <v>70</v>
      </c>
      <c r="C22" s="17" t="s">
        <v>28</v>
      </c>
      <c r="D22" s="17" t="s">
        <v>29</v>
      </c>
      <c r="E22" s="16">
        <v>9</v>
      </c>
      <c r="F22" s="16">
        <v>50</v>
      </c>
      <c r="G22" s="22">
        <v>45324</v>
      </c>
      <c r="H22" s="20"/>
      <c r="I22" s="19"/>
      <c r="J22" s="1"/>
      <c r="K22" s="1"/>
      <c r="L22" s="1"/>
    </row>
    <row r="23" spans="1:12" ht="15.75" thickBot="1" x14ac:dyDescent="0.3">
      <c r="A23" s="16">
        <v>1022</v>
      </c>
      <c r="B23" s="17" t="s">
        <v>71</v>
      </c>
      <c r="C23" s="17" t="s">
        <v>31</v>
      </c>
      <c r="D23" s="17" t="s">
        <v>40</v>
      </c>
      <c r="E23" s="16">
        <v>35</v>
      </c>
      <c r="F23" s="16">
        <v>5</v>
      </c>
      <c r="G23" s="22">
        <v>45353</v>
      </c>
      <c r="H23" s="20"/>
      <c r="I23" s="19"/>
      <c r="J23" s="1"/>
      <c r="K23" s="1"/>
      <c r="L23" s="1"/>
    </row>
    <row r="24" spans="1:12" ht="15.75" thickBot="1" x14ac:dyDescent="0.3">
      <c r="A24" s="16">
        <v>1023</v>
      </c>
      <c r="B24" s="17" t="s">
        <v>72</v>
      </c>
      <c r="C24" s="17" t="s">
        <v>34</v>
      </c>
      <c r="D24" s="17" t="s">
        <v>43</v>
      </c>
      <c r="E24" s="16">
        <v>30</v>
      </c>
      <c r="F24" s="16">
        <v>8</v>
      </c>
      <c r="G24" s="22">
        <v>45384</v>
      </c>
      <c r="H24" s="20"/>
      <c r="I24" s="19"/>
      <c r="J24" s="1"/>
      <c r="K24" s="1"/>
      <c r="L24" s="1"/>
    </row>
    <row r="25" spans="1:12" ht="15.75" thickBot="1" x14ac:dyDescent="0.3">
      <c r="A25" s="16">
        <v>1024</v>
      </c>
      <c r="B25" s="17" t="s">
        <v>73</v>
      </c>
      <c r="C25" s="17" t="s">
        <v>38</v>
      </c>
      <c r="D25" s="17" t="s">
        <v>29</v>
      </c>
      <c r="E25" s="16">
        <v>11</v>
      </c>
      <c r="F25" s="16">
        <v>50</v>
      </c>
      <c r="G25" s="22">
        <v>45445</v>
      </c>
      <c r="H25" s="20"/>
      <c r="I25" s="19"/>
      <c r="J25" s="1"/>
      <c r="K25" s="1"/>
      <c r="L25" s="1"/>
    </row>
    <row r="26" spans="1:12" ht="15.75" thickBot="1" x14ac:dyDescent="0.3">
      <c r="A26" s="16">
        <v>1025</v>
      </c>
      <c r="B26" s="17" t="s">
        <v>74</v>
      </c>
      <c r="C26" s="17" t="s">
        <v>28</v>
      </c>
      <c r="D26" s="17" t="s">
        <v>32</v>
      </c>
      <c r="E26" s="16">
        <v>14</v>
      </c>
      <c r="F26" s="16">
        <v>10</v>
      </c>
      <c r="G26" s="22">
        <v>45475</v>
      </c>
      <c r="H26" s="20"/>
      <c r="I26" s="19"/>
      <c r="J26" s="1"/>
      <c r="K26" s="1"/>
      <c r="L26" s="1"/>
    </row>
    <row r="27" spans="1:12" ht="15.75" thickBot="1" x14ac:dyDescent="0.3">
      <c r="A27" s="16">
        <v>1026</v>
      </c>
      <c r="B27" s="17" t="s">
        <v>75</v>
      </c>
      <c r="C27" s="17" t="s">
        <v>31</v>
      </c>
      <c r="D27" s="17" t="s">
        <v>35</v>
      </c>
      <c r="E27" s="16">
        <v>16</v>
      </c>
      <c r="F27" s="16">
        <v>25</v>
      </c>
      <c r="G27" s="22">
        <v>45506</v>
      </c>
      <c r="H27" s="20"/>
      <c r="I27" s="19"/>
      <c r="J27" s="1"/>
      <c r="K27" s="1"/>
      <c r="L27" s="1"/>
    </row>
    <row r="28" spans="1:12" ht="15.75" thickBot="1" x14ac:dyDescent="0.3">
      <c r="A28" s="16">
        <v>1027</v>
      </c>
      <c r="B28" s="17" t="s">
        <v>76</v>
      </c>
      <c r="C28" s="17" t="s">
        <v>34</v>
      </c>
      <c r="D28" s="17" t="s">
        <v>40</v>
      </c>
      <c r="E28" s="16">
        <v>22</v>
      </c>
      <c r="F28" s="16">
        <v>5</v>
      </c>
      <c r="G28" s="22">
        <v>45537</v>
      </c>
      <c r="H28" s="20"/>
      <c r="I28" s="19"/>
      <c r="J28" s="1"/>
      <c r="K28" s="1"/>
      <c r="L28" s="1"/>
    </row>
    <row r="29" spans="1:12" ht="15.75" thickBot="1" x14ac:dyDescent="0.3">
      <c r="A29" s="16">
        <v>1028</v>
      </c>
      <c r="B29" s="17" t="s">
        <v>77</v>
      </c>
      <c r="C29" s="17" t="s">
        <v>38</v>
      </c>
      <c r="D29" s="17" t="s">
        <v>43</v>
      </c>
      <c r="E29" s="16">
        <v>27</v>
      </c>
      <c r="F29" s="16">
        <v>8</v>
      </c>
      <c r="G29" s="22">
        <v>45567</v>
      </c>
      <c r="H29" s="20"/>
      <c r="I29" s="19"/>
      <c r="J29" s="1"/>
      <c r="K29" s="1"/>
      <c r="L29" s="1"/>
    </row>
    <row r="30" spans="1:12" ht="15.75" thickBot="1" x14ac:dyDescent="0.3">
      <c r="A30" s="16">
        <v>1029</v>
      </c>
      <c r="B30" s="17" t="s">
        <v>78</v>
      </c>
      <c r="C30" s="17" t="s">
        <v>28</v>
      </c>
      <c r="D30" s="17" t="s">
        <v>29</v>
      </c>
      <c r="E30" s="16">
        <v>13</v>
      </c>
      <c r="F30" s="16">
        <v>50</v>
      </c>
      <c r="G30" s="22">
        <v>45628</v>
      </c>
      <c r="H30" s="20"/>
      <c r="I30" s="19"/>
      <c r="J30" s="1"/>
      <c r="K30" s="1"/>
      <c r="L30" s="1"/>
    </row>
    <row r="31" spans="1:12" ht="15.75" thickBot="1" x14ac:dyDescent="0.3">
      <c r="A31" s="16">
        <v>1030</v>
      </c>
      <c r="B31" s="17" t="s">
        <v>79</v>
      </c>
      <c r="C31" s="17" t="s">
        <v>31</v>
      </c>
      <c r="D31" s="17" t="s">
        <v>32</v>
      </c>
      <c r="E31" s="16">
        <v>32</v>
      </c>
      <c r="F31" s="16">
        <v>10</v>
      </c>
      <c r="G31" s="23" t="s">
        <v>80</v>
      </c>
      <c r="H31" s="20"/>
      <c r="I31" s="19"/>
      <c r="J31" s="1"/>
      <c r="K31" s="1"/>
      <c r="L31" s="1"/>
    </row>
    <row r="32" spans="1:12" ht="15.75" thickBot="1" x14ac:dyDescent="0.3">
      <c r="A32" s="16">
        <v>1031</v>
      </c>
      <c r="B32" s="17" t="s">
        <v>81</v>
      </c>
      <c r="C32" s="17" t="s">
        <v>34</v>
      </c>
      <c r="D32" s="17" t="s">
        <v>35</v>
      </c>
      <c r="E32" s="16">
        <v>10</v>
      </c>
      <c r="F32" s="16">
        <v>25</v>
      </c>
      <c r="G32" s="23" t="s">
        <v>82</v>
      </c>
      <c r="H32" s="20"/>
      <c r="I32" s="19"/>
      <c r="J32" s="1"/>
      <c r="K32" s="1"/>
      <c r="L32" s="1"/>
    </row>
    <row r="33" spans="1:12" ht="15.75" thickBot="1" x14ac:dyDescent="0.3">
      <c r="A33" s="16">
        <v>1032</v>
      </c>
      <c r="B33" s="17" t="s">
        <v>83</v>
      </c>
      <c r="C33" s="17" t="s">
        <v>38</v>
      </c>
      <c r="D33" s="17" t="s">
        <v>40</v>
      </c>
      <c r="E33" s="16">
        <v>18</v>
      </c>
      <c r="F33" s="16">
        <v>5</v>
      </c>
      <c r="G33" s="23" t="s">
        <v>84</v>
      </c>
      <c r="H33" s="20"/>
      <c r="I33" s="19"/>
      <c r="J33" s="1"/>
      <c r="K33" s="1"/>
      <c r="L33" s="1"/>
    </row>
    <row r="34" spans="1:12" ht="15.75" thickBot="1" x14ac:dyDescent="0.3">
      <c r="A34" s="16">
        <v>1033</v>
      </c>
      <c r="B34" s="17" t="s">
        <v>85</v>
      </c>
      <c r="C34" s="17" t="s">
        <v>28</v>
      </c>
      <c r="D34" s="17" t="s">
        <v>43</v>
      </c>
      <c r="E34" s="16">
        <v>22</v>
      </c>
      <c r="F34" s="16">
        <v>8</v>
      </c>
      <c r="G34" s="23" t="s">
        <v>86</v>
      </c>
      <c r="H34" s="20"/>
      <c r="I34" s="19"/>
      <c r="J34" s="1"/>
      <c r="K34" s="1"/>
      <c r="L34" s="1"/>
    </row>
    <row r="35" spans="1:12" ht="15.75" thickBot="1" x14ac:dyDescent="0.3">
      <c r="A35" s="16">
        <v>1034</v>
      </c>
      <c r="B35" s="17" t="s">
        <v>87</v>
      </c>
      <c r="C35" s="17" t="s">
        <v>31</v>
      </c>
      <c r="D35" s="17" t="s">
        <v>29</v>
      </c>
      <c r="E35" s="16">
        <v>17</v>
      </c>
      <c r="F35" s="16">
        <v>50</v>
      </c>
      <c r="G35" s="23" t="s">
        <v>88</v>
      </c>
      <c r="H35" s="20"/>
      <c r="I35" s="19"/>
      <c r="J35" s="1"/>
      <c r="K35" s="1"/>
      <c r="L35" s="1"/>
    </row>
    <row r="36" spans="1:12" ht="15.75" thickBot="1" x14ac:dyDescent="0.3">
      <c r="A36" s="16">
        <v>1035</v>
      </c>
      <c r="B36" s="17" t="s">
        <v>89</v>
      </c>
      <c r="C36" s="17" t="s">
        <v>34</v>
      </c>
      <c r="D36" s="17" t="s">
        <v>32</v>
      </c>
      <c r="E36" s="16">
        <v>19</v>
      </c>
      <c r="F36" s="16">
        <v>10</v>
      </c>
      <c r="G36" s="23" t="s">
        <v>90</v>
      </c>
      <c r="H36" s="20"/>
      <c r="I36" s="19"/>
      <c r="J36" s="1"/>
      <c r="K36" s="1"/>
      <c r="L36" s="1"/>
    </row>
    <row r="37" spans="1:12" ht="15.75" thickBot="1" x14ac:dyDescent="0.3">
      <c r="A37" s="16">
        <v>1036</v>
      </c>
      <c r="B37" s="17" t="s">
        <v>91</v>
      </c>
      <c r="C37" s="17" t="s">
        <v>38</v>
      </c>
      <c r="D37" s="17" t="s">
        <v>35</v>
      </c>
      <c r="E37" s="16">
        <v>15</v>
      </c>
      <c r="F37" s="16">
        <v>25</v>
      </c>
      <c r="G37" s="23" t="s">
        <v>92</v>
      </c>
      <c r="H37" s="20"/>
      <c r="I37" s="19"/>
      <c r="J37" s="1"/>
      <c r="K37" s="1"/>
      <c r="L37" s="1"/>
    </row>
    <row r="38" spans="1:12" ht="15.75" thickBot="1" x14ac:dyDescent="0.3">
      <c r="A38" s="16">
        <v>1037</v>
      </c>
      <c r="B38" s="17" t="s">
        <v>93</v>
      </c>
      <c r="C38" s="17" t="s">
        <v>28</v>
      </c>
      <c r="D38" s="17" t="s">
        <v>40</v>
      </c>
      <c r="E38" s="16">
        <v>28</v>
      </c>
      <c r="F38" s="16">
        <v>5</v>
      </c>
      <c r="G38" s="23" t="s">
        <v>94</v>
      </c>
      <c r="H38" s="20"/>
      <c r="I38" s="19"/>
      <c r="J38" s="1"/>
      <c r="K38" s="1"/>
      <c r="L38" s="1"/>
    </row>
    <row r="39" spans="1:12" ht="15.75" thickBot="1" x14ac:dyDescent="0.3">
      <c r="A39" s="16">
        <v>1038</v>
      </c>
      <c r="B39" s="17" t="s">
        <v>95</v>
      </c>
      <c r="C39" s="17" t="s">
        <v>31</v>
      </c>
      <c r="D39" s="17" t="s">
        <v>43</v>
      </c>
      <c r="E39" s="16">
        <v>24</v>
      </c>
      <c r="F39" s="16">
        <v>8</v>
      </c>
      <c r="G39" s="23" t="s">
        <v>96</v>
      </c>
      <c r="H39" s="20"/>
      <c r="I39" s="19"/>
      <c r="J39" s="1"/>
      <c r="K39" s="1"/>
      <c r="L39" s="1"/>
    </row>
    <row r="40" spans="1:12" ht="15.75" thickBot="1" x14ac:dyDescent="0.3">
      <c r="A40" s="16">
        <v>1039</v>
      </c>
      <c r="B40" s="17" t="s">
        <v>97</v>
      </c>
      <c r="C40" s="17" t="s">
        <v>34</v>
      </c>
      <c r="D40" s="17" t="s">
        <v>29</v>
      </c>
      <c r="E40" s="16">
        <v>16</v>
      </c>
      <c r="F40" s="16">
        <v>50</v>
      </c>
      <c r="G40" s="23" t="s">
        <v>98</v>
      </c>
      <c r="H40" s="20"/>
      <c r="I40" s="19"/>
      <c r="J40" s="1"/>
      <c r="K40" s="1"/>
      <c r="L40" s="1"/>
    </row>
    <row r="41" spans="1:12" ht="15.75" thickBot="1" x14ac:dyDescent="0.3">
      <c r="A41" s="16">
        <v>1040</v>
      </c>
      <c r="B41" s="17" t="s">
        <v>99</v>
      </c>
      <c r="C41" s="17" t="s">
        <v>38</v>
      </c>
      <c r="D41" s="17" t="s">
        <v>32</v>
      </c>
      <c r="E41" s="16">
        <v>27</v>
      </c>
      <c r="F41" s="16">
        <v>10</v>
      </c>
      <c r="G41" s="23" t="s">
        <v>100</v>
      </c>
      <c r="H41" s="20"/>
      <c r="I41" s="19"/>
      <c r="J41" s="1"/>
      <c r="K41" s="1"/>
      <c r="L41" s="1"/>
    </row>
    <row r="42" spans="1:12" ht="15.75" thickBot="1" x14ac:dyDescent="0.3">
      <c r="A42" s="16">
        <v>1041</v>
      </c>
      <c r="B42" s="17" t="s">
        <v>101</v>
      </c>
      <c r="C42" s="17" t="s">
        <v>28</v>
      </c>
      <c r="D42" s="17" t="s">
        <v>35</v>
      </c>
      <c r="E42" s="16">
        <v>21</v>
      </c>
      <c r="F42" s="16">
        <v>25</v>
      </c>
      <c r="G42" s="23" t="s">
        <v>102</v>
      </c>
      <c r="H42" s="20"/>
      <c r="I42" s="19"/>
      <c r="J42" s="1"/>
      <c r="K42" s="1"/>
      <c r="L42" s="1"/>
    </row>
    <row r="43" spans="1:12" ht="15.75" thickBot="1" x14ac:dyDescent="0.3">
      <c r="A43" s="16">
        <v>1042</v>
      </c>
      <c r="B43" s="17" t="s">
        <v>103</v>
      </c>
      <c r="C43" s="17" t="s">
        <v>31</v>
      </c>
      <c r="D43" s="17" t="s">
        <v>40</v>
      </c>
      <c r="E43" s="16">
        <v>30</v>
      </c>
      <c r="F43" s="16">
        <v>5</v>
      </c>
      <c r="G43" s="23" t="s">
        <v>104</v>
      </c>
      <c r="H43" s="20"/>
      <c r="I43" s="19"/>
      <c r="J43" s="1"/>
      <c r="K43" s="1"/>
      <c r="L43" s="1"/>
    </row>
    <row r="44" spans="1:12" ht="15.75" thickBot="1" x14ac:dyDescent="0.3">
      <c r="A44" s="16">
        <v>1043</v>
      </c>
      <c r="B44" s="17" t="s">
        <v>105</v>
      </c>
      <c r="C44" s="17" t="s">
        <v>34</v>
      </c>
      <c r="D44" s="17" t="s">
        <v>43</v>
      </c>
      <c r="E44" s="16">
        <v>26</v>
      </c>
      <c r="F44" s="16">
        <v>8</v>
      </c>
      <c r="G44" s="22">
        <v>45294</v>
      </c>
      <c r="H44" s="20"/>
      <c r="I44" s="19"/>
      <c r="J44" s="1"/>
      <c r="K44" s="1"/>
      <c r="L44" s="1"/>
    </row>
    <row r="45" spans="1:12" ht="15.75" thickBot="1" x14ac:dyDescent="0.3">
      <c r="A45" s="16">
        <v>1044</v>
      </c>
      <c r="B45" s="17" t="s">
        <v>106</v>
      </c>
      <c r="C45" s="17" t="s">
        <v>38</v>
      </c>
      <c r="D45" s="17" t="s">
        <v>29</v>
      </c>
      <c r="E45" s="16">
        <v>14</v>
      </c>
      <c r="F45" s="16">
        <v>50</v>
      </c>
      <c r="G45" s="22">
        <v>45325</v>
      </c>
      <c r="H45" s="20"/>
      <c r="I45" s="19"/>
      <c r="J45" s="1"/>
      <c r="K45" s="1"/>
      <c r="L45" s="1"/>
    </row>
    <row r="46" spans="1:12" ht="15.75" thickBot="1" x14ac:dyDescent="0.3">
      <c r="A46" s="16">
        <v>1045</v>
      </c>
      <c r="B46" s="17" t="s">
        <v>107</v>
      </c>
      <c r="C46" s="17" t="s">
        <v>28</v>
      </c>
      <c r="D46" s="17" t="s">
        <v>32</v>
      </c>
      <c r="E46" s="16">
        <v>20</v>
      </c>
      <c r="F46" s="16">
        <v>10</v>
      </c>
      <c r="G46" s="22">
        <v>45354</v>
      </c>
      <c r="H46" s="20"/>
      <c r="I46" s="19"/>
      <c r="J46" s="1"/>
      <c r="K46" s="1"/>
      <c r="L46" s="1"/>
    </row>
    <row r="47" spans="1:12" ht="15.75" thickBot="1" x14ac:dyDescent="0.3">
      <c r="A47" s="16">
        <v>1046</v>
      </c>
      <c r="B47" s="17" t="s">
        <v>108</v>
      </c>
      <c r="C47" s="17" t="s">
        <v>31</v>
      </c>
      <c r="D47" s="17" t="s">
        <v>35</v>
      </c>
      <c r="E47" s="16">
        <v>17</v>
      </c>
      <c r="F47" s="16">
        <v>25</v>
      </c>
      <c r="G47" s="22">
        <v>45385</v>
      </c>
      <c r="H47" s="20"/>
      <c r="I47" s="19"/>
      <c r="J47" s="1"/>
      <c r="K47" s="1"/>
      <c r="L47" s="1"/>
    </row>
    <row r="48" spans="1:12" ht="15.75" thickBot="1" x14ac:dyDescent="0.3">
      <c r="A48" s="16">
        <v>1047</v>
      </c>
      <c r="B48" s="17" t="s">
        <v>109</v>
      </c>
      <c r="C48" s="17" t="s">
        <v>34</v>
      </c>
      <c r="D48" s="17" t="s">
        <v>40</v>
      </c>
      <c r="E48" s="16">
        <v>19</v>
      </c>
      <c r="F48" s="16">
        <v>5</v>
      </c>
      <c r="G48" s="22">
        <v>45415</v>
      </c>
      <c r="H48" s="20"/>
      <c r="I48" s="19"/>
      <c r="J48" s="1"/>
      <c r="K48" s="1"/>
      <c r="L48" s="1"/>
    </row>
    <row r="49" spans="1:12" ht="15.75" thickBot="1" x14ac:dyDescent="0.3">
      <c r="A49" s="16">
        <v>1048</v>
      </c>
      <c r="B49" s="17" t="s">
        <v>110</v>
      </c>
      <c r="C49" s="17" t="s">
        <v>38</v>
      </c>
      <c r="D49" s="17" t="s">
        <v>43</v>
      </c>
      <c r="E49" s="16">
        <v>32</v>
      </c>
      <c r="F49" s="16">
        <v>8</v>
      </c>
      <c r="G49" s="22">
        <v>45446</v>
      </c>
      <c r="H49" s="20"/>
      <c r="I49" s="19"/>
      <c r="J49" s="1"/>
      <c r="K49" s="1"/>
      <c r="L49" s="1"/>
    </row>
    <row r="50" spans="1:12" ht="15.75" thickBot="1" x14ac:dyDescent="0.3">
      <c r="A50" s="16">
        <v>1049</v>
      </c>
      <c r="B50" s="17" t="s">
        <v>111</v>
      </c>
      <c r="C50" s="17" t="s">
        <v>28</v>
      </c>
      <c r="D50" s="17" t="s">
        <v>29</v>
      </c>
      <c r="E50" s="16">
        <v>12</v>
      </c>
      <c r="F50" s="16">
        <v>50</v>
      </c>
      <c r="G50" s="22">
        <v>45476</v>
      </c>
      <c r="H50" s="20"/>
      <c r="I50" s="19"/>
      <c r="J50" s="1"/>
      <c r="K50" s="1"/>
      <c r="L50" s="1"/>
    </row>
    <row r="51" spans="1:12" ht="15.75" thickBot="1" x14ac:dyDescent="0.3">
      <c r="A51" s="16">
        <v>1050</v>
      </c>
      <c r="B51" s="17" t="s">
        <v>112</v>
      </c>
      <c r="C51" s="17" t="s">
        <v>31</v>
      </c>
      <c r="D51" s="17" t="s">
        <v>32</v>
      </c>
      <c r="E51" s="16">
        <v>25</v>
      </c>
      <c r="F51" s="16">
        <v>10</v>
      </c>
      <c r="G51" s="22">
        <v>45507</v>
      </c>
      <c r="H51" s="20"/>
      <c r="I51" s="19"/>
      <c r="J51" s="1"/>
      <c r="K51" s="1"/>
      <c r="L51" s="1"/>
    </row>
  </sheetData>
  <mergeCells count="50">
    <mergeCell ref="H50:I50"/>
    <mergeCell ref="H51:I51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H8:I8"/>
    <mergeCell ref="H9:I9"/>
    <mergeCell ref="H10:I10"/>
    <mergeCell ref="H11:I11"/>
    <mergeCell ref="H12:I12"/>
    <mergeCell ref="H13:I13"/>
    <mergeCell ref="H1:I1"/>
    <mergeCell ref="I2:L2"/>
    <mergeCell ref="H3:I3"/>
    <mergeCell ref="H5:I5"/>
    <mergeCell ref="H6:I6"/>
    <mergeCell ref="H7: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8FC8-7DB1-4433-818E-BB94BD14FF47}">
  <dimension ref="A1:J54"/>
  <sheetViews>
    <sheetView topLeftCell="A11" workbookViewId="0">
      <selection activeCell="I8" sqref="I8"/>
    </sheetView>
  </sheetViews>
  <sheetFormatPr defaultRowHeight="15" x14ac:dyDescent="0.25"/>
  <cols>
    <col min="1" max="1" width="7.85546875" customWidth="1"/>
    <col min="2" max="2" width="15.28515625" customWidth="1"/>
    <col min="4" max="4" width="11.28515625" customWidth="1"/>
    <col min="7" max="7" width="13.42578125" customWidth="1"/>
  </cols>
  <sheetData>
    <row r="1" spans="1:10" x14ac:dyDescent="0.25">
      <c r="A1" s="28" t="s">
        <v>115</v>
      </c>
      <c r="B1" s="28"/>
      <c r="C1" s="28"/>
      <c r="D1" s="28"/>
      <c r="E1" s="28"/>
      <c r="F1" s="28"/>
      <c r="G1" s="32"/>
      <c r="H1" s="32"/>
    </row>
    <row r="2" spans="1:10" x14ac:dyDescent="0.25">
      <c r="A2" s="28"/>
      <c r="B2" s="28"/>
      <c r="C2" s="28"/>
      <c r="D2" s="28"/>
      <c r="E2" s="28"/>
      <c r="F2" s="28"/>
      <c r="G2" s="32"/>
      <c r="H2" s="32"/>
    </row>
    <row r="3" spans="1:10" ht="15.75" thickBot="1" x14ac:dyDescent="0.3">
      <c r="A3" s="32"/>
      <c r="B3" s="32"/>
      <c r="C3" s="33"/>
      <c r="D3" s="33"/>
      <c r="E3" s="32"/>
      <c r="F3" s="32"/>
      <c r="G3" s="32"/>
      <c r="H3" s="32"/>
    </row>
    <row r="4" spans="1:10" ht="19.5" thickBot="1" x14ac:dyDescent="0.35">
      <c r="A4" s="21" t="s">
        <v>20</v>
      </c>
      <c r="B4" s="21" t="s">
        <v>21</v>
      </c>
      <c r="C4" s="21" t="s">
        <v>22</v>
      </c>
      <c r="D4" s="21" t="s">
        <v>23</v>
      </c>
      <c r="E4" s="21" t="s">
        <v>24</v>
      </c>
      <c r="F4" s="21" t="s">
        <v>25</v>
      </c>
      <c r="G4" s="21" t="s">
        <v>26</v>
      </c>
      <c r="H4" s="30" t="s">
        <v>7</v>
      </c>
      <c r="J4" s="24"/>
    </row>
    <row r="5" spans="1:10" ht="15.75" thickBot="1" x14ac:dyDescent="0.3">
      <c r="A5" s="23">
        <v>1001</v>
      </c>
      <c r="B5" s="31" t="s">
        <v>27</v>
      </c>
      <c r="C5" s="31" t="s">
        <v>28</v>
      </c>
      <c r="D5" s="31" t="s">
        <v>29</v>
      </c>
      <c r="E5" s="23">
        <v>10</v>
      </c>
      <c r="F5" s="23">
        <v>50</v>
      </c>
      <c r="G5" s="22">
        <v>45413</v>
      </c>
      <c r="H5" s="34">
        <f>E5*F5</f>
        <v>500</v>
      </c>
    </row>
    <row r="6" spans="1:10" ht="15.75" thickBot="1" x14ac:dyDescent="0.3">
      <c r="A6" s="23">
        <v>1002</v>
      </c>
      <c r="B6" s="31" t="s">
        <v>30</v>
      </c>
      <c r="C6" s="31" t="s">
        <v>31</v>
      </c>
      <c r="D6" s="31" t="s">
        <v>32</v>
      </c>
      <c r="E6" s="23">
        <v>20</v>
      </c>
      <c r="F6" s="23">
        <v>10</v>
      </c>
      <c r="G6" s="22">
        <v>45444</v>
      </c>
      <c r="H6" s="9">
        <f>E6*F6</f>
        <v>200</v>
      </c>
    </row>
    <row r="7" spans="1:10" ht="15.75" thickBot="1" x14ac:dyDescent="0.3">
      <c r="A7" s="23">
        <v>1003</v>
      </c>
      <c r="B7" s="31" t="s">
        <v>33</v>
      </c>
      <c r="C7" s="31" t="s">
        <v>34</v>
      </c>
      <c r="D7" s="31" t="s">
        <v>35</v>
      </c>
      <c r="E7" s="23">
        <v>15</v>
      </c>
      <c r="F7" s="23">
        <v>25</v>
      </c>
      <c r="G7" s="22">
        <v>45474</v>
      </c>
      <c r="H7" s="9">
        <f t="shared" ref="H7:H54" si="0">E7*F7</f>
        <v>375</v>
      </c>
    </row>
    <row r="8" spans="1:10" ht="15.75" thickBot="1" x14ac:dyDescent="0.3">
      <c r="A8" s="23">
        <v>1004</v>
      </c>
      <c r="B8" s="31" t="s">
        <v>37</v>
      </c>
      <c r="C8" s="31" t="s">
        <v>38</v>
      </c>
      <c r="D8" s="31" t="s">
        <v>29</v>
      </c>
      <c r="E8" s="23">
        <v>5</v>
      </c>
      <c r="F8" s="23">
        <v>50</v>
      </c>
      <c r="G8" s="22">
        <v>45505</v>
      </c>
      <c r="H8" s="9">
        <f t="shared" si="0"/>
        <v>250</v>
      </c>
    </row>
    <row r="9" spans="1:10" ht="15.75" thickBot="1" x14ac:dyDescent="0.3">
      <c r="A9" s="23">
        <v>1005</v>
      </c>
      <c r="B9" s="31" t="s">
        <v>39</v>
      </c>
      <c r="C9" s="31" t="s">
        <v>28</v>
      </c>
      <c r="D9" s="31" t="s">
        <v>40</v>
      </c>
      <c r="E9" s="23">
        <v>30</v>
      </c>
      <c r="F9" s="23">
        <v>5</v>
      </c>
      <c r="G9" s="22">
        <v>45566</v>
      </c>
      <c r="H9" s="9">
        <f t="shared" si="0"/>
        <v>150</v>
      </c>
    </row>
    <row r="10" spans="1:10" ht="15.75" thickBot="1" x14ac:dyDescent="0.3">
      <c r="A10" s="23">
        <v>1006</v>
      </c>
      <c r="B10" s="31" t="s">
        <v>41</v>
      </c>
      <c r="C10" s="31" t="s">
        <v>31</v>
      </c>
      <c r="D10" s="31" t="s">
        <v>29</v>
      </c>
      <c r="E10" s="23">
        <v>12</v>
      </c>
      <c r="F10" s="23">
        <v>50</v>
      </c>
      <c r="G10" s="22">
        <v>45597</v>
      </c>
      <c r="H10" s="9">
        <f t="shared" si="0"/>
        <v>600</v>
      </c>
    </row>
    <row r="11" spans="1:10" ht="15.75" thickBot="1" x14ac:dyDescent="0.3">
      <c r="A11" s="23">
        <v>1007</v>
      </c>
      <c r="B11" s="31" t="s">
        <v>42</v>
      </c>
      <c r="C11" s="31" t="s">
        <v>34</v>
      </c>
      <c r="D11" s="31" t="s">
        <v>43</v>
      </c>
      <c r="E11" s="23">
        <v>25</v>
      </c>
      <c r="F11" s="23">
        <v>8</v>
      </c>
      <c r="G11" s="23" t="s">
        <v>44</v>
      </c>
      <c r="H11" s="9">
        <f t="shared" si="0"/>
        <v>200</v>
      </c>
    </row>
    <row r="12" spans="1:10" ht="15.75" thickBot="1" x14ac:dyDescent="0.3">
      <c r="A12" s="23">
        <v>1008</v>
      </c>
      <c r="B12" s="31" t="s">
        <v>45</v>
      </c>
      <c r="C12" s="31" t="s">
        <v>38</v>
      </c>
      <c r="D12" s="31" t="s">
        <v>32</v>
      </c>
      <c r="E12" s="23">
        <v>18</v>
      </c>
      <c r="F12" s="23">
        <v>10</v>
      </c>
      <c r="G12" s="23" t="s">
        <v>46</v>
      </c>
      <c r="H12" s="9">
        <f t="shared" si="0"/>
        <v>180</v>
      </c>
    </row>
    <row r="13" spans="1:10" ht="15.75" thickBot="1" x14ac:dyDescent="0.3">
      <c r="A13" s="23">
        <v>1009</v>
      </c>
      <c r="B13" s="31" t="s">
        <v>47</v>
      </c>
      <c r="C13" s="31" t="s">
        <v>28</v>
      </c>
      <c r="D13" s="31" t="s">
        <v>35</v>
      </c>
      <c r="E13" s="23">
        <v>22</v>
      </c>
      <c r="F13" s="23">
        <v>25</v>
      </c>
      <c r="G13" s="23" t="s">
        <v>48</v>
      </c>
      <c r="H13" s="9">
        <f t="shared" si="0"/>
        <v>550</v>
      </c>
    </row>
    <row r="14" spans="1:10" ht="15.75" thickBot="1" x14ac:dyDescent="0.3">
      <c r="A14" s="23">
        <v>1010</v>
      </c>
      <c r="B14" s="31" t="s">
        <v>49</v>
      </c>
      <c r="C14" s="31" t="s">
        <v>31</v>
      </c>
      <c r="D14" s="31" t="s">
        <v>29</v>
      </c>
      <c r="E14" s="23">
        <v>8</v>
      </c>
      <c r="F14" s="23">
        <v>50</v>
      </c>
      <c r="G14" s="23" t="s">
        <v>50</v>
      </c>
      <c r="H14" s="9">
        <f t="shared" si="0"/>
        <v>400</v>
      </c>
    </row>
    <row r="15" spans="1:10" ht="15.75" thickBot="1" x14ac:dyDescent="0.3">
      <c r="A15" s="23">
        <v>1011</v>
      </c>
      <c r="B15" s="31" t="s">
        <v>51</v>
      </c>
      <c r="C15" s="31" t="s">
        <v>34</v>
      </c>
      <c r="D15" s="31" t="s">
        <v>40</v>
      </c>
      <c r="E15" s="23">
        <v>40</v>
      </c>
      <c r="F15" s="23">
        <v>5</v>
      </c>
      <c r="G15" s="23" t="s">
        <v>52</v>
      </c>
      <c r="H15" s="9">
        <f t="shared" si="0"/>
        <v>200</v>
      </c>
    </row>
    <row r="16" spans="1:10" ht="15.75" thickBot="1" x14ac:dyDescent="0.3">
      <c r="A16" s="23">
        <v>1012</v>
      </c>
      <c r="B16" s="31" t="s">
        <v>53</v>
      </c>
      <c r="C16" s="31" t="s">
        <v>38</v>
      </c>
      <c r="D16" s="31" t="s">
        <v>43</v>
      </c>
      <c r="E16" s="23">
        <v>35</v>
      </c>
      <c r="F16" s="23">
        <v>8</v>
      </c>
      <c r="G16" s="23" t="s">
        <v>54</v>
      </c>
      <c r="H16" s="9">
        <f t="shared" si="0"/>
        <v>280</v>
      </c>
    </row>
    <row r="17" spans="1:8" ht="15.75" thickBot="1" x14ac:dyDescent="0.3">
      <c r="A17" s="23">
        <v>1013</v>
      </c>
      <c r="B17" s="31" t="s">
        <v>55</v>
      </c>
      <c r="C17" s="31" t="s">
        <v>28</v>
      </c>
      <c r="D17" s="31" t="s">
        <v>29</v>
      </c>
      <c r="E17" s="23">
        <v>14</v>
      </c>
      <c r="F17" s="23">
        <v>50</v>
      </c>
      <c r="G17" s="23" t="s">
        <v>56</v>
      </c>
      <c r="H17" s="9">
        <f t="shared" si="0"/>
        <v>700</v>
      </c>
    </row>
    <row r="18" spans="1:8" ht="15.75" thickBot="1" x14ac:dyDescent="0.3">
      <c r="A18" s="23">
        <v>1014</v>
      </c>
      <c r="B18" s="31" t="s">
        <v>57</v>
      </c>
      <c r="C18" s="31" t="s">
        <v>31</v>
      </c>
      <c r="D18" s="31" t="s">
        <v>32</v>
      </c>
      <c r="E18" s="23">
        <v>28</v>
      </c>
      <c r="F18" s="23">
        <v>10</v>
      </c>
      <c r="G18" s="23" t="s">
        <v>58</v>
      </c>
      <c r="H18" s="9">
        <f t="shared" si="0"/>
        <v>280</v>
      </c>
    </row>
    <row r="19" spans="1:8" ht="15.75" thickBot="1" x14ac:dyDescent="0.3">
      <c r="A19" s="23">
        <v>1015</v>
      </c>
      <c r="B19" s="31" t="s">
        <v>59</v>
      </c>
      <c r="C19" s="31" t="s">
        <v>34</v>
      </c>
      <c r="D19" s="31" t="s">
        <v>35</v>
      </c>
      <c r="E19" s="23">
        <v>12</v>
      </c>
      <c r="F19" s="23">
        <v>25</v>
      </c>
      <c r="G19" s="23" t="s">
        <v>60</v>
      </c>
      <c r="H19" s="9">
        <f t="shared" si="0"/>
        <v>300</v>
      </c>
    </row>
    <row r="20" spans="1:8" ht="15.75" thickBot="1" x14ac:dyDescent="0.3">
      <c r="A20" s="23">
        <v>1016</v>
      </c>
      <c r="B20" s="31" t="s">
        <v>61</v>
      </c>
      <c r="C20" s="31" t="s">
        <v>38</v>
      </c>
      <c r="D20" s="31" t="s">
        <v>40</v>
      </c>
      <c r="E20" s="23">
        <v>25</v>
      </c>
      <c r="F20" s="23">
        <v>5</v>
      </c>
      <c r="G20" s="23" t="s">
        <v>62</v>
      </c>
      <c r="H20" s="9">
        <f t="shared" si="0"/>
        <v>125</v>
      </c>
    </row>
    <row r="21" spans="1:8" ht="15.75" thickBot="1" x14ac:dyDescent="0.3">
      <c r="A21" s="23">
        <v>1017</v>
      </c>
      <c r="B21" s="31" t="s">
        <v>63</v>
      </c>
      <c r="C21" s="31" t="s">
        <v>28</v>
      </c>
      <c r="D21" s="31" t="s">
        <v>43</v>
      </c>
      <c r="E21" s="23">
        <v>20</v>
      </c>
      <c r="F21" s="23">
        <v>8</v>
      </c>
      <c r="G21" s="23" t="s">
        <v>64</v>
      </c>
      <c r="H21" s="9">
        <f t="shared" si="0"/>
        <v>160</v>
      </c>
    </row>
    <row r="22" spans="1:8" ht="15.75" thickBot="1" x14ac:dyDescent="0.3">
      <c r="A22" s="23">
        <v>1018</v>
      </c>
      <c r="B22" s="31" t="s">
        <v>65</v>
      </c>
      <c r="C22" s="31" t="s">
        <v>31</v>
      </c>
      <c r="D22" s="31" t="s">
        <v>29</v>
      </c>
      <c r="E22" s="23">
        <v>10</v>
      </c>
      <c r="F22" s="23">
        <v>50</v>
      </c>
      <c r="G22" s="23" t="s">
        <v>66</v>
      </c>
      <c r="H22" s="9">
        <f t="shared" si="0"/>
        <v>500</v>
      </c>
    </row>
    <row r="23" spans="1:8" ht="15.75" thickBot="1" x14ac:dyDescent="0.3">
      <c r="A23" s="23">
        <v>1019</v>
      </c>
      <c r="B23" s="31" t="s">
        <v>67</v>
      </c>
      <c r="C23" s="31" t="s">
        <v>34</v>
      </c>
      <c r="D23" s="31" t="s">
        <v>32</v>
      </c>
      <c r="E23" s="23">
        <v>15</v>
      </c>
      <c r="F23" s="23">
        <v>10</v>
      </c>
      <c r="G23" s="23" t="s">
        <v>68</v>
      </c>
      <c r="H23" s="9">
        <f t="shared" si="0"/>
        <v>150</v>
      </c>
    </row>
    <row r="24" spans="1:8" ht="15.75" thickBot="1" x14ac:dyDescent="0.3">
      <c r="A24" s="23">
        <v>1020</v>
      </c>
      <c r="B24" s="31" t="s">
        <v>69</v>
      </c>
      <c r="C24" s="31" t="s">
        <v>38</v>
      </c>
      <c r="D24" s="31" t="s">
        <v>35</v>
      </c>
      <c r="E24" s="23">
        <v>18</v>
      </c>
      <c r="F24" s="23">
        <v>25</v>
      </c>
      <c r="G24" s="22">
        <v>45293</v>
      </c>
      <c r="H24" s="9">
        <f t="shared" si="0"/>
        <v>450</v>
      </c>
    </row>
    <row r="25" spans="1:8" ht="15.75" thickBot="1" x14ac:dyDescent="0.3">
      <c r="A25" s="23">
        <v>1021</v>
      </c>
      <c r="B25" s="31" t="s">
        <v>70</v>
      </c>
      <c r="C25" s="31" t="s">
        <v>28</v>
      </c>
      <c r="D25" s="31" t="s">
        <v>29</v>
      </c>
      <c r="E25" s="23">
        <v>9</v>
      </c>
      <c r="F25" s="23">
        <v>50</v>
      </c>
      <c r="G25" s="22">
        <v>45324</v>
      </c>
      <c r="H25" s="9">
        <f t="shared" si="0"/>
        <v>450</v>
      </c>
    </row>
    <row r="26" spans="1:8" ht="15.75" thickBot="1" x14ac:dyDescent="0.3">
      <c r="A26" s="23">
        <v>1022</v>
      </c>
      <c r="B26" s="31" t="s">
        <v>71</v>
      </c>
      <c r="C26" s="31" t="s">
        <v>31</v>
      </c>
      <c r="D26" s="31" t="s">
        <v>40</v>
      </c>
      <c r="E26" s="23">
        <v>35</v>
      </c>
      <c r="F26" s="23">
        <v>5</v>
      </c>
      <c r="G26" s="22">
        <v>45353</v>
      </c>
      <c r="H26" s="9">
        <f t="shared" si="0"/>
        <v>175</v>
      </c>
    </row>
    <row r="27" spans="1:8" ht="15.75" thickBot="1" x14ac:dyDescent="0.3">
      <c r="A27" s="23">
        <v>1023</v>
      </c>
      <c r="B27" s="31" t="s">
        <v>72</v>
      </c>
      <c r="C27" s="31" t="s">
        <v>34</v>
      </c>
      <c r="D27" s="31" t="s">
        <v>43</v>
      </c>
      <c r="E27" s="23">
        <v>30</v>
      </c>
      <c r="F27" s="23">
        <v>8</v>
      </c>
      <c r="G27" s="22">
        <v>45384</v>
      </c>
      <c r="H27" s="9">
        <f t="shared" si="0"/>
        <v>240</v>
      </c>
    </row>
    <row r="28" spans="1:8" ht="15.75" thickBot="1" x14ac:dyDescent="0.3">
      <c r="A28" s="23">
        <v>1024</v>
      </c>
      <c r="B28" s="31" t="s">
        <v>73</v>
      </c>
      <c r="C28" s="31" t="s">
        <v>38</v>
      </c>
      <c r="D28" s="31" t="s">
        <v>29</v>
      </c>
      <c r="E28" s="23">
        <v>11</v>
      </c>
      <c r="F28" s="23">
        <v>50</v>
      </c>
      <c r="G28" s="22">
        <v>45445</v>
      </c>
      <c r="H28" s="9">
        <f t="shared" si="0"/>
        <v>550</v>
      </c>
    </row>
    <row r="29" spans="1:8" ht="15.75" thickBot="1" x14ac:dyDescent="0.3">
      <c r="A29" s="23">
        <v>1025</v>
      </c>
      <c r="B29" s="31" t="s">
        <v>74</v>
      </c>
      <c r="C29" s="31" t="s">
        <v>28</v>
      </c>
      <c r="D29" s="31" t="s">
        <v>32</v>
      </c>
      <c r="E29" s="23">
        <v>14</v>
      </c>
      <c r="F29" s="23">
        <v>10</v>
      </c>
      <c r="G29" s="22">
        <v>45475</v>
      </c>
      <c r="H29" s="9">
        <f t="shared" si="0"/>
        <v>140</v>
      </c>
    </row>
    <row r="30" spans="1:8" ht="15.75" thickBot="1" x14ac:dyDescent="0.3">
      <c r="A30" s="23">
        <v>1026</v>
      </c>
      <c r="B30" s="31" t="s">
        <v>75</v>
      </c>
      <c r="C30" s="31" t="s">
        <v>31</v>
      </c>
      <c r="D30" s="31" t="s">
        <v>35</v>
      </c>
      <c r="E30" s="23">
        <v>16</v>
      </c>
      <c r="F30" s="23">
        <v>25</v>
      </c>
      <c r="G30" s="22">
        <v>45506</v>
      </c>
      <c r="H30" s="9">
        <f t="shared" si="0"/>
        <v>400</v>
      </c>
    </row>
    <row r="31" spans="1:8" ht="15.75" thickBot="1" x14ac:dyDescent="0.3">
      <c r="A31" s="23">
        <v>1027</v>
      </c>
      <c r="B31" s="31" t="s">
        <v>76</v>
      </c>
      <c r="C31" s="31" t="s">
        <v>34</v>
      </c>
      <c r="D31" s="31" t="s">
        <v>40</v>
      </c>
      <c r="E31" s="23">
        <v>22</v>
      </c>
      <c r="F31" s="23">
        <v>5</v>
      </c>
      <c r="G31" s="22">
        <v>45537</v>
      </c>
      <c r="H31" s="9">
        <f t="shared" si="0"/>
        <v>110</v>
      </c>
    </row>
    <row r="32" spans="1:8" ht="15.75" thickBot="1" x14ac:dyDescent="0.3">
      <c r="A32" s="23">
        <v>1028</v>
      </c>
      <c r="B32" s="31" t="s">
        <v>77</v>
      </c>
      <c r="C32" s="31" t="s">
        <v>38</v>
      </c>
      <c r="D32" s="31" t="s">
        <v>43</v>
      </c>
      <c r="E32" s="23">
        <v>27</v>
      </c>
      <c r="F32" s="23">
        <v>8</v>
      </c>
      <c r="G32" s="22">
        <v>45567</v>
      </c>
      <c r="H32" s="9">
        <f t="shared" si="0"/>
        <v>216</v>
      </c>
    </row>
    <row r="33" spans="1:8" ht="15.75" thickBot="1" x14ac:dyDescent="0.3">
      <c r="A33" s="23">
        <v>1029</v>
      </c>
      <c r="B33" s="31" t="s">
        <v>78</v>
      </c>
      <c r="C33" s="31" t="s">
        <v>28</v>
      </c>
      <c r="D33" s="31" t="s">
        <v>29</v>
      </c>
      <c r="E33" s="23">
        <v>13</v>
      </c>
      <c r="F33" s="23">
        <v>50</v>
      </c>
      <c r="G33" s="22">
        <v>45628</v>
      </c>
      <c r="H33" s="9">
        <f t="shared" si="0"/>
        <v>650</v>
      </c>
    </row>
    <row r="34" spans="1:8" ht="15.75" thickBot="1" x14ac:dyDescent="0.3">
      <c r="A34" s="23">
        <v>1030</v>
      </c>
      <c r="B34" s="31" t="s">
        <v>79</v>
      </c>
      <c r="C34" s="31" t="s">
        <v>31</v>
      </c>
      <c r="D34" s="31" t="s">
        <v>32</v>
      </c>
      <c r="E34" s="23">
        <v>32</v>
      </c>
      <c r="F34" s="23">
        <v>10</v>
      </c>
      <c r="G34" s="23" t="s">
        <v>80</v>
      </c>
      <c r="H34" s="9">
        <f t="shared" si="0"/>
        <v>320</v>
      </c>
    </row>
    <row r="35" spans="1:8" ht="15.75" thickBot="1" x14ac:dyDescent="0.3">
      <c r="A35" s="23">
        <v>1031</v>
      </c>
      <c r="B35" s="31" t="s">
        <v>81</v>
      </c>
      <c r="C35" s="31" t="s">
        <v>34</v>
      </c>
      <c r="D35" s="31" t="s">
        <v>35</v>
      </c>
      <c r="E35" s="23">
        <v>10</v>
      </c>
      <c r="F35" s="23">
        <v>25</v>
      </c>
      <c r="G35" s="23" t="s">
        <v>82</v>
      </c>
      <c r="H35" s="9">
        <f t="shared" si="0"/>
        <v>250</v>
      </c>
    </row>
    <row r="36" spans="1:8" ht="15.75" thickBot="1" x14ac:dyDescent="0.3">
      <c r="A36" s="23">
        <v>1032</v>
      </c>
      <c r="B36" s="31" t="s">
        <v>83</v>
      </c>
      <c r="C36" s="31" t="s">
        <v>38</v>
      </c>
      <c r="D36" s="31" t="s">
        <v>40</v>
      </c>
      <c r="E36" s="23">
        <v>18</v>
      </c>
      <c r="F36" s="23">
        <v>5</v>
      </c>
      <c r="G36" s="23" t="s">
        <v>84</v>
      </c>
      <c r="H36" s="9">
        <f t="shared" si="0"/>
        <v>90</v>
      </c>
    </row>
    <row r="37" spans="1:8" ht="15.75" thickBot="1" x14ac:dyDescent="0.3">
      <c r="A37" s="23">
        <v>1033</v>
      </c>
      <c r="B37" s="31" t="s">
        <v>85</v>
      </c>
      <c r="C37" s="31" t="s">
        <v>28</v>
      </c>
      <c r="D37" s="31" t="s">
        <v>43</v>
      </c>
      <c r="E37" s="23">
        <v>22</v>
      </c>
      <c r="F37" s="23">
        <v>8</v>
      </c>
      <c r="G37" s="23" t="s">
        <v>86</v>
      </c>
      <c r="H37" s="9">
        <f t="shared" si="0"/>
        <v>176</v>
      </c>
    </row>
    <row r="38" spans="1:8" ht="15.75" thickBot="1" x14ac:dyDescent="0.3">
      <c r="A38" s="23">
        <v>1034</v>
      </c>
      <c r="B38" s="31" t="s">
        <v>87</v>
      </c>
      <c r="C38" s="31" t="s">
        <v>31</v>
      </c>
      <c r="D38" s="31" t="s">
        <v>29</v>
      </c>
      <c r="E38" s="23">
        <v>17</v>
      </c>
      <c r="F38" s="23">
        <v>50</v>
      </c>
      <c r="G38" s="23" t="s">
        <v>88</v>
      </c>
      <c r="H38" s="9">
        <f t="shared" si="0"/>
        <v>850</v>
      </c>
    </row>
    <row r="39" spans="1:8" ht="15.75" thickBot="1" x14ac:dyDescent="0.3">
      <c r="A39" s="23">
        <v>1035</v>
      </c>
      <c r="B39" s="31" t="s">
        <v>89</v>
      </c>
      <c r="C39" s="31" t="s">
        <v>34</v>
      </c>
      <c r="D39" s="31" t="s">
        <v>32</v>
      </c>
      <c r="E39" s="23">
        <v>19</v>
      </c>
      <c r="F39" s="23">
        <v>10</v>
      </c>
      <c r="G39" s="23" t="s">
        <v>90</v>
      </c>
      <c r="H39" s="9">
        <f t="shared" si="0"/>
        <v>190</v>
      </c>
    </row>
    <row r="40" spans="1:8" ht="15.75" thickBot="1" x14ac:dyDescent="0.3">
      <c r="A40" s="23">
        <v>1036</v>
      </c>
      <c r="B40" s="31" t="s">
        <v>91</v>
      </c>
      <c r="C40" s="31" t="s">
        <v>38</v>
      </c>
      <c r="D40" s="31" t="s">
        <v>35</v>
      </c>
      <c r="E40" s="23">
        <v>15</v>
      </c>
      <c r="F40" s="23">
        <v>25</v>
      </c>
      <c r="G40" s="23" t="s">
        <v>92</v>
      </c>
      <c r="H40" s="9">
        <f t="shared" si="0"/>
        <v>375</v>
      </c>
    </row>
    <row r="41" spans="1:8" ht="15.75" thickBot="1" x14ac:dyDescent="0.3">
      <c r="A41" s="23">
        <v>1037</v>
      </c>
      <c r="B41" s="31" t="s">
        <v>93</v>
      </c>
      <c r="C41" s="31" t="s">
        <v>28</v>
      </c>
      <c r="D41" s="31" t="s">
        <v>40</v>
      </c>
      <c r="E41" s="23">
        <v>28</v>
      </c>
      <c r="F41" s="23">
        <v>5</v>
      </c>
      <c r="G41" s="23" t="s">
        <v>94</v>
      </c>
      <c r="H41" s="9">
        <f t="shared" si="0"/>
        <v>140</v>
      </c>
    </row>
    <row r="42" spans="1:8" ht="15.75" thickBot="1" x14ac:dyDescent="0.3">
      <c r="A42" s="23">
        <v>1038</v>
      </c>
      <c r="B42" s="31" t="s">
        <v>95</v>
      </c>
      <c r="C42" s="31" t="s">
        <v>31</v>
      </c>
      <c r="D42" s="31" t="s">
        <v>43</v>
      </c>
      <c r="E42" s="23">
        <v>24</v>
      </c>
      <c r="F42" s="23">
        <v>8</v>
      </c>
      <c r="G42" s="23" t="s">
        <v>96</v>
      </c>
      <c r="H42" s="9">
        <f t="shared" si="0"/>
        <v>192</v>
      </c>
    </row>
    <row r="43" spans="1:8" ht="15.75" thickBot="1" x14ac:dyDescent="0.3">
      <c r="A43" s="23">
        <v>1039</v>
      </c>
      <c r="B43" s="31" t="s">
        <v>97</v>
      </c>
      <c r="C43" s="31" t="s">
        <v>34</v>
      </c>
      <c r="D43" s="31" t="s">
        <v>29</v>
      </c>
      <c r="E43" s="23">
        <v>16</v>
      </c>
      <c r="F43" s="23">
        <v>50</v>
      </c>
      <c r="G43" s="23" t="s">
        <v>98</v>
      </c>
      <c r="H43" s="9">
        <f t="shared" si="0"/>
        <v>800</v>
      </c>
    </row>
    <row r="44" spans="1:8" ht="15.75" thickBot="1" x14ac:dyDescent="0.3">
      <c r="A44" s="23">
        <v>1040</v>
      </c>
      <c r="B44" s="31" t="s">
        <v>99</v>
      </c>
      <c r="C44" s="31" t="s">
        <v>38</v>
      </c>
      <c r="D44" s="31" t="s">
        <v>32</v>
      </c>
      <c r="E44" s="23">
        <v>27</v>
      </c>
      <c r="F44" s="23">
        <v>10</v>
      </c>
      <c r="G44" s="23" t="s">
        <v>100</v>
      </c>
      <c r="H44" s="9">
        <f t="shared" si="0"/>
        <v>270</v>
      </c>
    </row>
    <row r="45" spans="1:8" ht="15.75" thickBot="1" x14ac:dyDescent="0.3">
      <c r="A45" s="23">
        <v>1041</v>
      </c>
      <c r="B45" s="31" t="s">
        <v>101</v>
      </c>
      <c r="C45" s="31" t="s">
        <v>28</v>
      </c>
      <c r="D45" s="31" t="s">
        <v>35</v>
      </c>
      <c r="E45" s="23">
        <v>21</v>
      </c>
      <c r="F45" s="23">
        <v>25</v>
      </c>
      <c r="G45" s="23" t="s">
        <v>102</v>
      </c>
      <c r="H45" s="9">
        <f t="shared" si="0"/>
        <v>525</v>
      </c>
    </row>
    <row r="46" spans="1:8" ht="15.75" thickBot="1" x14ac:dyDescent="0.3">
      <c r="A46" s="23">
        <v>1042</v>
      </c>
      <c r="B46" s="31" t="s">
        <v>103</v>
      </c>
      <c r="C46" s="31" t="s">
        <v>31</v>
      </c>
      <c r="D46" s="31" t="s">
        <v>40</v>
      </c>
      <c r="E46" s="23">
        <v>30</v>
      </c>
      <c r="F46" s="23">
        <v>5</v>
      </c>
      <c r="G46" s="23" t="s">
        <v>104</v>
      </c>
      <c r="H46" s="9">
        <f t="shared" si="0"/>
        <v>150</v>
      </c>
    </row>
    <row r="47" spans="1:8" ht="15.75" thickBot="1" x14ac:dyDescent="0.3">
      <c r="A47" s="23">
        <v>1043</v>
      </c>
      <c r="B47" s="31" t="s">
        <v>105</v>
      </c>
      <c r="C47" s="31" t="s">
        <v>34</v>
      </c>
      <c r="D47" s="31" t="s">
        <v>43</v>
      </c>
      <c r="E47" s="23">
        <v>26</v>
      </c>
      <c r="F47" s="23">
        <v>8</v>
      </c>
      <c r="G47" s="22">
        <v>45294</v>
      </c>
      <c r="H47" s="9">
        <f t="shared" si="0"/>
        <v>208</v>
      </c>
    </row>
    <row r="48" spans="1:8" ht="15.75" thickBot="1" x14ac:dyDescent="0.3">
      <c r="A48" s="23">
        <v>1044</v>
      </c>
      <c r="B48" s="31" t="s">
        <v>106</v>
      </c>
      <c r="C48" s="31" t="s">
        <v>38</v>
      </c>
      <c r="D48" s="31" t="s">
        <v>29</v>
      </c>
      <c r="E48" s="23">
        <v>14</v>
      </c>
      <c r="F48" s="23">
        <v>50</v>
      </c>
      <c r="G48" s="22">
        <v>45325</v>
      </c>
      <c r="H48" s="9">
        <f t="shared" si="0"/>
        <v>700</v>
      </c>
    </row>
    <row r="49" spans="1:8" ht="15.75" thickBot="1" x14ac:dyDescent="0.3">
      <c r="A49" s="23">
        <v>1045</v>
      </c>
      <c r="B49" s="31" t="s">
        <v>107</v>
      </c>
      <c r="C49" s="31" t="s">
        <v>28</v>
      </c>
      <c r="D49" s="31" t="s">
        <v>32</v>
      </c>
      <c r="E49" s="23">
        <v>20</v>
      </c>
      <c r="F49" s="23">
        <v>10</v>
      </c>
      <c r="G49" s="22">
        <v>45354</v>
      </c>
      <c r="H49" s="9">
        <f t="shared" si="0"/>
        <v>200</v>
      </c>
    </row>
    <row r="50" spans="1:8" ht="15.75" thickBot="1" x14ac:dyDescent="0.3">
      <c r="A50" s="23">
        <v>1046</v>
      </c>
      <c r="B50" s="31" t="s">
        <v>108</v>
      </c>
      <c r="C50" s="31" t="s">
        <v>31</v>
      </c>
      <c r="D50" s="31" t="s">
        <v>35</v>
      </c>
      <c r="E50" s="23">
        <v>17</v>
      </c>
      <c r="F50" s="23">
        <v>25</v>
      </c>
      <c r="G50" s="22">
        <v>45385</v>
      </c>
      <c r="H50" s="9">
        <f t="shared" si="0"/>
        <v>425</v>
      </c>
    </row>
    <row r="51" spans="1:8" ht="15.75" thickBot="1" x14ac:dyDescent="0.3">
      <c r="A51" s="23">
        <v>1047</v>
      </c>
      <c r="B51" s="31" t="s">
        <v>109</v>
      </c>
      <c r="C51" s="31" t="s">
        <v>34</v>
      </c>
      <c r="D51" s="31" t="s">
        <v>40</v>
      </c>
      <c r="E51" s="23">
        <v>19</v>
      </c>
      <c r="F51" s="23">
        <v>5</v>
      </c>
      <c r="G51" s="22">
        <v>45415</v>
      </c>
      <c r="H51" s="9">
        <f t="shared" si="0"/>
        <v>95</v>
      </c>
    </row>
    <row r="52" spans="1:8" ht="15.75" thickBot="1" x14ac:dyDescent="0.3">
      <c r="A52" s="23">
        <v>1048</v>
      </c>
      <c r="B52" s="31" t="s">
        <v>110</v>
      </c>
      <c r="C52" s="31" t="s">
        <v>38</v>
      </c>
      <c r="D52" s="31" t="s">
        <v>43</v>
      </c>
      <c r="E52" s="23">
        <v>32</v>
      </c>
      <c r="F52" s="23">
        <v>8</v>
      </c>
      <c r="G52" s="22">
        <v>45446</v>
      </c>
      <c r="H52" s="9">
        <f t="shared" si="0"/>
        <v>256</v>
      </c>
    </row>
    <row r="53" spans="1:8" ht="15.75" thickBot="1" x14ac:dyDescent="0.3">
      <c r="A53" s="23">
        <v>1049</v>
      </c>
      <c r="B53" s="31" t="s">
        <v>111</v>
      </c>
      <c r="C53" s="31" t="s">
        <v>28</v>
      </c>
      <c r="D53" s="31" t="s">
        <v>29</v>
      </c>
      <c r="E53" s="23">
        <v>12</v>
      </c>
      <c r="F53" s="23">
        <v>50</v>
      </c>
      <c r="G53" s="22">
        <v>45476</v>
      </c>
      <c r="H53" s="9">
        <f t="shared" si="0"/>
        <v>600</v>
      </c>
    </row>
    <row r="54" spans="1:8" ht="15.75" thickBot="1" x14ac:dyDescent="0.3">
      <c r="A54" s="23">
        <v>1050</v>
      </c>
      <c r="B54" s="31" t="s">
        <v>112</v>
      </c>
      <c r="C54" s="31" t="s">
        <v>31</v>
      </c>
      <c r="D54" s="31" t="s">
        <v>32</v>
      </c>
      <c r="E54" s="23">
        <v>25</v>
      </c>
      <c r="F54" s="23">
        <v>10</v>
      </c>
      <c r="G54" s="22">
        <v>45507</v>
      </c>
      <c r="H54" s="9">
        <f t="shared" si="0"/>
        <v>250</v>
      </c>
    </row>
  </sheetData>
  <mergeCells count="2">
    <mergeCell ref="A1:F2"/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729E-FDBF-450F-B5A3-536A6D49FBF1}">
  <dimension ref="A1:N51"/>
  <sheetViews>
    <sheetView zoomScale="99" workbookViewId="0">
      <selection activeCell="M31" sqref="M31:N32"/>
    </sheetView>
  </sheetViews>
  <sheetFormatPr defaultRowHeight="15" x14ac:dyDescent="0.25"/>
  <cols>
    <col min="1" max="1" width="8" customWidth="1"/>
    <col min="2" max="2" width="14.28515625" customWidth="1"/>
    <col min="4" max="4" width="11.28515625" customWidth="1"/>
    <col min="7" max="7" width="14.42578125" customWidth="1"/>
  </cols>
  <sheetData>
    <row r="1" spans="1:14" ht="15.75" thickBot="1" x14ac:dyDescent="0.3">
      <c r="A1" s="21" t="s">
        <v>20</v>
      </c>
      <c r="B1" s="21" t="s">
        <v>21</v>
      </c>
      <c r="C1" s="21" t="s">
        <v>22</v>
      </c>
      <c r="D1" s="21" t="s">
        <v>23</v>
      </c>
      <c r="E1" s="21" t="s">
        <v>24</v>
      </c>
      <c r="F1" s="21" t="s">
        <v>25</v>
      </c>
      <c r="G1" s="21" t="s">
        <v>26</v>
      </c>
      <c r="H1" s="29"/>
      <c r="I1" s="29"/>
      <c r="J1" s="29"/>
      <c r="K1" s="29"/>
      <c r="L1" s="29"/>
      <c r="M1" s="29"/>
      <c r="N1" s="29"/>
    </row>
    <row r="2" spans="1:14" ht="15.75" thickBot="1" x14ac:dyDescent="0.3">
      <c r="A2" s="23">
        <v>1001</v>
      </c>
      <c r="B2" s="31" t="s">
        <v>27</v>
      </c>
      <c r="C2" s="31" t="s">
        <v>28</v>
      </c>
      <c r="D2" s="31" t="s">
        <v>29</v>
      </c>
      <c r="E2" s="23">
        <v>10</v>
      </c>
      <c r="F2" s="23">
        <v>50</v>
      </c>
      <c r="G2" s="22">
        <v>45413</v>
      </c>
      <c r="H2" s="29"/>
      <c r="I2" s="35" t="s">
        <v>116</v>
      </c>
      <c r="J2" s="35"/>
      <c r="K2" s="35"/>
      <c r="L2" s="35"/>
      <c r="M2" s="35"/>
      <c r="N2" s="35"/>
    </row>
    <row r="3" spans="1:14" ht="15.75" thickBot="1" x14ac:dyDescent="0.3">
      <c r="A3" s="23">
        <v>1002</v>
      </c>
      <c r="B3" s="31" t="s">
        <v>30</v>
      </c>
      <c r="C3" s="31" t="s">
        <v>31</v>
      </c>
      <c r="D3" s="31" t="s">
        <v>32</v>
      </c>
      <c r="E3" s="23">
        <v>20</v>
      </c>
      <c r="F3" s="23">
        <v>10</v>
      </c>
      <c r="G3" s="22">
        <v>45444</v>
      </c>
      <c r="H3" s="29"/>
      <c r="I3" s="35"/>
      <c r="J3" s="35"/>
      <c r="K3" s="35"/>
      <c r="L3" s="35"/>
      <c r="M3" s="35"/>
      <c r="N3" s="35"/>
    </row>
    <row r="4" spans="1:14" ht="15.75" thickBot="1" x14ac:dyDescent="0.3">
      <c r="A4" s="23">
        <v>1003</v>
      </c>
      <c r="B4" s="31" t="s">
        <v>33</v>
      </c>
      <c r="C4" s="31" t="s">
        <v>34</v>
      </c>
      <c r="D4" s="31" t="s">
        <v>35</v>
      </c>
      <c r="E4" s="23">
        <v>15</v>
      </c>
      <c r="F4" s="23">
        <v>25</v>
      </c>
      <c r="G4" s="22">
        <v>45474</v>
      </c>
      <c r="H4" s="29"/>
      <c r="I4" s="29"/>
      <c r="J4" s="29"/>
      <c r="K4" s="29"/>
      <c r="L4" s="29"/>
      <c r="M4" s="29"/>
      <c r="N4" s="29"/>
    </row>
    <row r="5" spans="1:14" ht="15.75" thickBot="1" x14ac:dyDescent="0.3">
      <c r="A5" s="23">
        <v>1004</v>
      </c>
      <c r="B5" s="31" t="s">
        <v>37</v>
      </c>
      <c r="C5" s="31" t="s">
        <v>38</v>
      </c>
      <c r="D5" s="31" t="s">
        <v>29</v>
      </c>
      <c r="E5" s="23">
        <v>5</v>
      </c>
      <c r="F5" s="23">
        <v>50</v>
      </c>
      <c r="G5" s="22">
        <v>45505</v>
      </c>
      <c r="H5" s="29"/>
      <c r="I5" s="36" t="s">
        <v>117</v>
      </c>
      <c r="J5" s="37">
        <f>SUMIFS(F2:F51,D2:D51, "Notebook", C2:C51, "North")</f>
        <v>250</v>
      </c>
      <c r="K5" s="29"/>
      <c r="L5" s="29"/>
      <c r="M5" s="29"/>
      <c r="N5" s="29"/>
    </row>
    <row r="6" spans="1:14" ht="15.75" thickBot="1" x14ac:dyDescent="0.3">
      <c r="A6" s="23">
        <v>1005</v>
      </c>
      <c r="B6" s="31" t="s">
        <v>39</v>
      </c>
      <c r="C6" s="31" t="s">
        <v>28</v>
      </c>
      <c r="D6" s="31" t="s">
        <v>40</v>
      </c>
      <c r="E6" s="23">
        <v>30</v>
      </c>
      <c r="F6" s="23">
        <v>5</v>
      </c>
      <c r="G6" s="22">
        <v>45566</v>
      </c>
      <c r="H6" s="29"/>
      <c r="I6" s="29"/>
      <c r="J6" s="29"/>
      <c r="K6" s="29"/>
      <c r="L6" s="29"/>
      <c r="M6" s="29"/>
      <c r="N6" s="29"/>
    </row>
    <row r="7" spans="1:14" ht="15.75" thickBot="1" x14ac:dyDescent="0.3">
      <c r="A7" s="23">
        <v>1006</v>
      </c>
      <c r="B7" s="31" t="s">
        <v>41</v>
      </c>
      <c r="C7" s="31" t="s">
        <v>31</v>
      </c>
      <c r="D7" s="31" t="s">
        <v>29</v>
      </c>
      <c r="E7" s="23">
        <v>12</v>
      </c>
      <c r="F7" s="23">
        <v>50</v>
      </c>
      <c r="G7" s="22">
        <v>45597</v>
      </c>
      <c r="H7" s="29"/>
      <c r="I7" s="29"/>
      <c r="J7" s="29"/>
      <c r="K7" s="29"/>
      <c r="L7" s="29"/>
      <c r="M7" s="29"/>
      <c r="N7" s="29"/>
    </row>
    <row r="8" spans="1:14" ht="15.75" thickBot="1" x14ac:dyDescent="0.3">
      <c r="A8" s="23">
        <v>1007</v>
      </c>
      <c r="B8" s="31" t="s">
        <v>42</v>
      </c>
      <c r="C8" s="31" t="s">
        <v>34</v>
      </c>
      <c r="D8" s="31" t="s">
        <v>43</v>
      </c>
      <c r="E8" s="23">
        <v>25</v>
      </c>
      <c r="F8" s="23">
        <v>8</v>
      </c>
      <c r="G8" s="23" t="s">
        <v>44</v>
      </c>
      <c r="H8" s="29"/>
      <c r="I8" s="29"/>
      <c r="J8" s="29"/>
      <c r="K8" s="29"/>
      <c r="L8" s="29"/>
      <c r="M8" s="29"/>
      <c r="N8" s="29"/>
    </row>
    <row r="9" spans="1:14" ht="15.75" thickBot="1" x14ac:dyDescent="0.3">
      <c r="A9" s="23">
        <v>1008</v>
      </c>
      <c r="B9" s="31" t="s">
        <v>45</v>
      </c>
      <c r="C9" s="31" t="s">
        <v>38</v>
      </c>
      <c r="D9" s="31" t="s">
        <v>32</v>
      </c>
      <c r="E9" s="23">
        <v>18</v>
      </c>
      <c r="F9" s="23">
        <v>10</v>
      </c>
      <c r="G9" s="23" t="s">
        <v>46</v>
      </c>
      <c r="H9" s="29"/>
      <c r="I9" s="29"/>
      <c r="J9" s="29"/>
      <c r="K9" s="29"/>
      <c r="L9" s="29"/>
      <c r="M9" s="29"/>
      <c r="N9" s="29"/>
    </row>
    <row r="10" spans="1:14" ht="15.75" thickBot="1" x14ac:dyDescent="0.3">
      <c r="A10" s="23">
        <v>1009</v>
      </c>
      <c r="B10" s="31" t="s">
        <v>47</v>
      </c>
      <c r="C10" s="31" t="s">
        <v>28</v>
      </c>
      <c r="D10" s="31" t="s">
        <v>35</v>
      </c>
      <c r="E10" s="23">
        <v>22</v>
      </c>
      <c r="F10" s="23">
        <v>25</v>
      </c>
      <c r="G10" s="23" t="s">
        <v>48</v>
      </c>
      <c r="H10" s="29"/>
      <c r="I10" s="29"/>
      <c r="J10" s="29"/>
      <c r="K10" s="29"/>
      <c r="L10" s="29"/>
      <c r="M10" s="29"/>
      <c r="N10" s="29"/>
    </row>
    <row r="11" spans="1:14" ht="15.75" thickBot="1" x14ac:dyDescent="0.3">
      <c r="A11" s="23">
        <v>1010</v>
      </c>
      <c r="B11" s="31" t="s">
        <v>49</v>
      </c>
      <c r="C11" s="31" t="s">
        <v>31</v>
      </c>
      <c r="D11" s="31" t="s">
        <v>29</v>
      </c>
      <c r="E11" s="23">
        <v>8</v>
      </c>
      <c r="F11" s="23">
        <v>50</v>
      </c>
      <c r="G11" s="23" t="s">
        <v>50</v>
      </c>
      <c r="H11" s="29"/>
      <c r="I11" s="29"/>
      <c r="J11" s="29"/>
      <c r="K11" s="29"/>
      <c r="L11" s="29"/>
      <c r="M11" s="29"/>
      <c r="N11" s="29"/>
    </row>
    <row r="12" spans="1:14" ht="15.75" thickBot="1" x14ac:dyDescent="0.3">
      <c r="A12" s="23">
        <v>1011</v>
      </c>
      <c r="B12" s="31" t="s">
        <v>51</v>
      </c>
      <c r="C12" s="31" t="s">
        <v>34</v>
      </c>
      <c r="D12" s="31" t="s">
        <v>40</v>
      </c>
      <c r="E12" s="23">
        <v>40</v>
      </c>
      <c r="F12" s="23">
        <v>5</v>
      </c>
      <c r="G12" s="23" t="s">
        <v>52</v>
      </c>
      <c r="H12" s="29"/>
      <c r="I12" s="29"/>
      <c r="J12" s="29"/>
      <c r="K12" s="29"/>
      <c r="L12" s="29"/>
      <c r="M12" s="29"/>
      <c r="N12" s="29"/>
    </row>
    <row r="13" spans="1:14" ht="15.75" thickBot="1" x14ac:dyDescent="0.3">
      <c r="A13" s="23">
        <v>1012</v>
      </c>
      <c r="B13" s="31" t="s">
        <v>53</v>
      </c>
      <c r="C13" s="31" t="s">
        <v>38</v>
      </c>
      <c r="D13" s="31" t="s">
        <v>43</v>
      </c>
      <c r="E13" s="23">
        <v>35</v>
      </c>
      <c r="F13" s="23">
        <v>8</v>
      </c>
      <c r="G13" s="23" t="s">
        <v>54</v>
      </c>
      <c r="H13" s="29"/>
      <c r="I13" s="29"/>
      <c r="J13" s="29"/>
      <c r="K13" s="29"/>
      <c r="L13" s="29"/>
      <c r="M13" s="29"/>
      <c r="N13" s="29"/>
    </row>
    <row r="14" spans="1:14" ht="15.75" thickBot="1" x14ac:dyDescent="0.3">
      <c r="A14" s="23">
        <v>1013</v>
      </c>
      <c r="B14" s="31" t="s">
        <v>55</v>
      </c>
      <c r="C14" s="31" t="s">
        <v>28</v>
      </c>
      <c r="D14" s="31" t="s">
        <v>29</v>
      </c>
      <c r="E14" s="23">
        <v>14</v>
      </c>
      <c r="F14" s="23">
        <v>50</v>
      </c>
      <c r="G14" s="23" t="s">
        <v>56</v>
      </c>
      <c r="H14" s="29"/>
      <c r="I14" s="29"/>
      <c r="J14" s="29"/>
      <c r="K14" s="29"/>
      <c r="L14" s="29"/>
      <c r="M14" s="29"/>
      <c r="N14" s="29"/>
    </row>
    <row r="15" spans="1:14" ht="15.75" thickBot="1" x14ac:dyDescent="0.3">
      <c r="A15" s="23">
        <v>1014</v>
      </c>
      <c r="B15" s="31" t="s">
        <v>57</v>
      </c>
      <c r="C15" s="31" t="s">
        <v>31</v>
      </c>
      <c r="D15" s="31" t="s">
        <v>32</v>
      </c>
      <c r="E15" s="23">
        <v>28</v>
      </c>
      <c r="F15" s="23">
        <v>10</v>
      </c>
      <c r="G15" s="23" t="s">
        <v>58</v>
      </c>
      <c r="H15" s="29"/>
      <c r="I15" s="29"/>
      <c r="J15" s="29"/>
      <c r="K15" s="29"/>
      <c r="L15" s="29"/>
      <c r="M15" s="29"/>
      <c r="N15" s="29"/>
    </row>
    <row r="16" spans="1:14" ht="15.75" thickBot="1" x14ac:dyDescent="0.3">
      <c r="A16" s="23">
        <v>1015</v>
      </c>
      <c r="B16" s="31" t="s">
        <v>59</v>
      </c>
      <c r="C16" s="31" t="s">
        <v>34</v>
      </c>
      <c r="D16" s="31" t="s">
        <v>35</v>
      </c>
      <c r="E16" s="23">
        <v>12</v>
      </c>
      <c r="F16" s="23">
        <v>25</v>
      </c>
      <c r="G16" s="23" t="s">
        <v>60</v>
      </c>
      <c r="H16" s="29"/>
      <c r="I16" s="29"/>
      <c r="J16" s="29"/>
      <c r="K16" s="29"/>
      <c r="L16" s="29"/>
      <c r="M16" s="29"/>
      <c r="N16" s="29"/>
    </row>
    <row r="17" spans="1:14" ht="15.75" thickBot="1" x14ac:dyDescent="0.3">
      <c r="A17" s="23">
        <v>1016</v>
      </c>
      <c r="B17" s="31" t="s">
        <v>61</v>
      </c>
      <c r="C17" s="31" t="s">
        <v>38</v>
      </c>
      <c r="D17" s="31" t="s">
        <v>40</v>
      </c>
      <c r="E17" s="23">
        <v>25</v>
      </c>
      <c r="F17" s="23">
        <v>5</v>
      </c>
      <c r="G17" s="23" t="s">
        <v>62</v>
      </c>
      <c r="H17" s="29"/>
      <c r="I17" s="29"/>
      <c r="J17" s="29"/>
      <c r="K17" s="29"/>
      <c r="L17" s="29"/>
      <c r="M17" s="29"/>
      <c r="N17" s="29"/>
    </row>
    <row r="18" spans="1:14" ht="15.75" thickBot="1" x14ac:dyDescent="0.3">
      <c r="A18" s="23">
        <v>1017</v>
      </c>
      <c r="B18" s="31" t="s">
        <v>63</v>
      </c>
      <c r="C18" s="31" t="s">
        <v>28</v>
      </c>
      <c r="D18" s="31" t="s">
        <v>43</v>
      </c>
      <c r="E18" s="23">
        <v>20</v>
      </c>
      <c r="F18" s="23">
        <v>8</v>
      </c>
      <c r="G18" s="23" t="s">
        <v>64</v>
      </c>
      <c r="H18" s="29"/>
      <c r="I18" s="29"/>
      <c r="J18" s="29"/>
      <c r="K18" s="29"/>
      <c r="L18" s="29"/>
      <c r="M18" s="29"/>
      <c r="N18" s="29"/>
    </row>
    <row r="19" spans="1:14" ht="15.75" thickBot="1" x14ac:dyDescent="0.3">
      <c r="A19" s="23">
        <v>1018</v>
      </c>
      <c r="B19" s="31" t="s">
        <v>65</v>
      </c>
      <c r="C19" s="31" t="s">
        <v>31</v>
      </c>
      <c r="D19" s="31" t="s">
        <v>29</v>
      </c>
      <c r="E19" s="23">
        <v>10</v>
      </c>
      <c r="F19" s="23">
        <v>50</v>
      </c>
      <c r="G19" s="23" t="s">
        <v>66</v>
      </c>
      <c r="H19" s="29"/>
      <c r="I19" s="29"/>
      <c r="J19" s="29"/>
      <c r="K19" s="29"/>
      <c r="L19" s="29"/>
      <c r="M19" s="29"/>
      <c r="N19" s="29"/>
    </row>
    <row r="20" spans="1:14" ht="15.75" thickBot="1" x14ac:dyDescent="0.3">
      <c r="A20" s="23">
        <v>1019</v>
      </c>
      <c r="B20" s="31" t="s">
        <v>67</v>
      </c>
      <c r="C20" s="31" t="s">
        <v>34</v>
      </c>
      <c r="D20" s="31" t="s">
        <v>32</v>
      </c>
      <c r="E20" s="23">
        <v>15</v>
      </c>
      <c r="F20" s="23">
        <v>10</v>
      </c>
      <c r="G20" s="23" t="s">
        <v>68</v>
      </c>
      <c r="H20" s="29"/>
      <c r="I20" s="29"/>
      <c r="J20" s="29"/>
      <c r="K20" s="29"/>
      <c r="L20" s="29"/>
      <c r="M20" s="29"/>
      <c r="N20" s="29"/>
    </row>
    <row r="21" spans="1:14" ht="15.75" thickBot="1" x14ac:dyDescent="0.3">
      <c r="A21" s="23">
        <v>1020</v>
      </c>
      <c r="B21" s="31" t="s">
        <v>69</v>
      </c>
      <c r="C21" s="31" t="s">
        <v>38</v>
      </c>
      <c r="D21" s="31" t="s">
        <v>35</v>
      </c>
      <c r="E21" s="23">
        <v>18</v>
      </c>
      <c r="F21" s="23">
        <v>25</v>
      </c>
      <c r="G21" s="22">
        <v>45293</v>
      </c>
      <c r="H21" s="29"/>
      <c r="I21" s="29"/>
      <c r="J21" s="29"/>
      <c r="K21" s="29"/>
      <c r="L21" s="29"/>
      <c r="M21" s="29"/>
      <c r="N21" s="29"/>
    </row>
    <row r="22" spans="1:14" ht="15.75" thickBot="1" x14ac:dyDescent="0.3">
      <c r="A22" s="23">
        <v>1021</v>
      </c>
      <c r="B22" s="31" t="s">
        <v>70</v>
      </c>
      <c r="C22" s="31" t="s">
        <v>28</v>
      </c>
      <c r="D22" s="31" t="s">
        <v>29</v>
      </c>
      <c r="E22" s="23">
        <v>9</v>
      </c>
      <c r="F22" s="23">
        <v>50</v>
      </c>
      <c r="G22" s="22">
        <v>45324</v>
      </c>
      <c r="H22" s="29"/>
      <c r="I22" s="29"/>
      <c r="J22" s="29"/>
      <c r="K22" s="29"/>
      <c r="L22" s="29"/>
      <c r="M22" s="29"/>
      <c r="N22" s="29"/>
    </row>
    <row r="23" spans="1:14" ht="15.75" thickBot="1" x14ac:dyDescent="0.3">
      <c r="A23" s="23">
        <v>1022</v>
      </c>
      <c r="B23" s="31" t="s">
        <v>71</v>
      </c>
      <c r="C23" s="31" t="s">
        <v>31</v>
      </c>
      <c r="D23" s="31" t="s">
        <v>40</v>
      </c>
      <c r="E23" s="23">
        <v>35</v>
      </c>
      <c r="F23" s="23">
        <v>5</v>
      </c>
      <c r="G23" s="22">
        <v>45353</v>
      </c>
      <c r="H23" s="29"/>
      <c r="I23" s="29"/>
      <c r="J23" s="29"/>
      <c r="K23" s="29"/>
      <c r="L23" s="29"/>
      <c r="M23" s="29"/>
      <c r="N23" s="29"/>
    </row>
    <row r="24" spans="1:14" ht="15.75" thickBot="1" x14ac:dyDescent="0.3">
      <c r="A24" s="23">
        <v>1023</v>
      </c>
      <c r="B24" s="31" t="s">
        <v>72</v>
      </c>
      <c r="C24" s="31" t="s">
        <v>34</v>
      </c>
      <c r="D24" s="31" t="s">
        <v>43</v>
      </c>
      <c r="E24" s="23">
        <v>30</v>
      </c>
      <c r="F24" s="23">
        <v>8</v>
      </c>
      <c r="G24" s="22">
        <v>45384</v>
      </c>
      <c r="H24" s="29"/>
      <c r="I24" s="29"/>
      <c r="J24" s="29"/>
      <c r="K24" s="29"/>
      <c r="L24" s="29"/>
      <c r="M24" s="29"/>
      <c r="N24" s="29"/>
    </row>
    <row r="25" spans="1:14" ht="15.75" thickBot="1" x14ac:dyDescent="0.3">
      <c r="A25" s="23">
        <v>1024</v>
      </c>
      <c r="B25" s="31" t="s">
        <v>73</v>
      </c>
      <c r="C25" s="31" t="s">
        <v>38</v>
      </c>
      <c r="D25" s="31" t="s">
        <v>29</v>
      </c>
      <c r="E25" s="23">
        <v>11</v>
      </c>
      <c r="F25" s="23">
        <v>50</v>
      </c>
      <c r="G25" s="22">
        <v>45445</v>
      </c>
      <c r="H25" s="29"/>
      <c r="I25" s="29"/>
      <c r="J25" s="29"/>
      <c r="K25" s="29"/>
      <c r="L25" s="29"/>
      <c r="M25" s="29"/>
      <c r="N25" s="29"/>
    </row>
    <row r="26" spans="1:14" ht="15.75" thickBot="1" x14ac:dyDescent="0.3">
      <c r="A26" s="23">
        <v>1025</v>
      </c>
      <c r="B26" s="31" t="s">
        <v>74</v>
      </c>
      <c r="C26" s="31" t="s">
        <v>28</v>
      </c>
      <c r="D26" s="31" t="s">
        <v>32</v>
      </c>
      <c r="E26" s="23">
        <v>14</v>
      </c>
      <c r="F26" s="23">
        <v>10</v>
      </c>
      <c r="G26" s="22">
        <v>45475</v>
      </c>
      <c r="H26" s="29"/>
      <c r="I26" s="29"/>
      <c r="J26" s="29"/>
      <c r="K26" s="29"/>
      <c r="L26" s="29"/>
      <c r="M26" s="29"/>
      <c r="N26" s="29"/>
    </row>
    <row r="27" spans="1:14" ht="15.75" thickBot="1" x14ac:dyDescent="0.3">
      <c r="A27" s="23">
        <v>1026</v>
      </c>
      <c r="B27" s="31" t="s">
        <v>75</v>
      </c>
      <c r="C27" s="31" t="s">
        <v>31</v>
      </c>
      <c r="D27" s="31" t="s">
        <v>35</v>
      </c>
      <c r="E27" s="23">
        <v>16</v>
      </c>
      <c r="F27" s="23">
        <v>25</v>
      </c>
      <c r="G27" s="22">
        <v>45506</v>
      </c>
      <c r="H27" s="29"/>
      <c r="I27" s="29"/>
      <c r="J27" s="29"/>
      <c r="K27" s="29"/>
      <c r="L27" s="29"/>
      <c r="M27" s="29"/>
      <c r="N27" s="29"/>
    </row>
    <row r="28" spans="1:14" ht="15.75" thickBot="1" x14ac:dyDescent="0.3">
      <c r="A28" s="23">
        <v>1027</v>
      </c>
      <c r="B28" s="31" t="s">
        <v>76</v>
      </c>
      <c r="C28" s="31" t="s">
        <v>34</v>
      </c>
      <c r="D28" s="31" t="s">
        <v>40</v>
      </c>
      <c r="E28" s="23">
        <v>22</v>
      </c>
      <c r="F28" s="23">
        <v>5</v>
      </c>
      <c r="G28" s="22">
        <v>45537</v>
      </c>
      <c r="H28" s="29"/>
      <c r="I28" s="29"/>
      <c r="J28" s="29"/>
      <c r="K28" s="29"/>
      <c r="L28" s="29"/>
      <c r="M28" s="29"/>
      <c r="N28" s="29"/>
    </row>
    <row r="29" spans="1:14" ht="15.75" thickBot="1" x14ac:dyDescent="0.3">
      <c r="A29" s="23">
        <v>1028</v>
      </c>
      <c r="B29" s="31" t="s">
        <v>77</v>
      </c>
      <c r="C29" s="31" t="s">
        <v>38</v>
      </c>
      <c r="D29" s="31" t="s">
        <v>43</v>
      </c>
      <c r="E29" s="23">
        <v>27</v>
      </c>
      <c r="F29" s="23">
        <v>8</v>
      </c>
      <c r="G29" s="22">
        <v>45567</v>
      </c>
      <c r="H29" s="29"/>
      <c r="I29" s="29"/>
      <c r="J29" s="29"/>
      <c r="K29" s="29"/>
      <c r="L29" s="29"/>
      <c r="M29" s="29"/>
      <c r="N29" s="29"/>
    </row>
    <row r="30" spans="1:14" ht="15.75" thickBot="1" x14ac:dyDescent="0.3">
      <c r="A30" s="23">
        <v>1029</v>
      </c>
      <c r="B30" s="31" t="s">
        <v>78</v>
      </c>
      <c r="C30" s="31" t="s">
        <v>28</v>
      </c>
      <c r="D30" s="31" t="s">
        <v>29</v>
      </c>
      <c r="E30" s="23">
        <v>13</v>
      </c>
      <c r="F30" s="23">
        <v>50</v>
      </c>
      <c r="G30" s="22">
        <v>45628</v>
      </c>
      <c r="H30" s="29"/>
      <c r="I30" s="29"/>
      <c r="J30" s="29"/>
      <c r="K30" s="29"/>
      <c r="L30" s="29"/>
      <c r="M30" s="29"/>
      <c r="N30" s="29"/>
    </row>
    <row r="31" spans="1:14" ht="15.75" thickBot="1" x14ac:dyDescent="0.3">
      <c r="A31" s="23">
        <v>1030</v>
      </c>
      <c r="B31" s="31" t="s">
        <v>79</v>
      </c>
      <c r="C31" s="31" t="s">
        <v>31</v>
      </c>
      <c r="D31" s="31" t="s">
        <v>32</v>
      </c>
      <c r="E31" s="23">
        <v>32</v>
      </c>
      <c r="F31" s="23">
        <v>10</v>
      </c>
      <c r="G31" s="23" t="s">
        <v>80</v>
      </c>
      <c r="H31" s="29"/>
      <c r="I31" s="29"/>
      <c r="J31" s="29"/>
      <c r="K31" s="29"/>
      <c r="L31" s="29"/>
      <c r="M31" s="29"/>
      <c r="N31" s="29"/>
    </row>
    <row r="32" spans="1:14" ht="15.75" thickBot="1" x14ac:dyDescent="0.3">
      <c r="A32" s="23">
        <v>1031</v>
      </c>
      <c r="B32" s="31" t="s">
        <v>81</v>
      </c>
      <c r="C32" s="31" t="s">
        <v>34</v>
      </c>
      <c r="D32" s="31" t="s">
        <v>35</v>
      </c>
      <c r="E32" s="23">
        <v>10</v>
      </c>
      <c r="F32" s="23">
        <v>25</v>
      </c>
      <c r="G32" s="23" t="s">
        <v>82</v>
      </c>
      <c r="H32" s="29"/>
      <c r="I32" s="29"/>
      <c r="J32" s="29"/>
      <c r="K32" s="29"/>
      <c r="L32" s="29"/>
      <c r="M32" s="29"/>
      <c r="N32" s="29"/>
    </row>
    <row r="33" spans="1:14" ht="15.75" thickBot="1" x14ac:dyDescent="0.3">
      <c r="A33" s="23">
        <v>1032</v>
      </c>
      <c r="B33" s="31" t="s">
        <v>83</v>
      </c>
      <c r="C33" s="31" t="s">
        <v>38</v>
      </c>
      <c r="D33" s="31" t="s">
        <v>40</v>
      </c>
      <c r="E33" s="23">
        <v>18</v>
      </c>
      <c r="F33" s="23">
        <v>5</v>
      </c>
      <c r="G33" s="23" t="s">
        <v>84</v>
      </c>
      <c r="H33" s="29"/>
      <c r="I33" s="29"/>
      <c r="J33" s="29"/>
      <c r="K33" s="29"/>
      <c r="L33" s="29"/>
      <c r="M33" s="29"/>
      <c r="N33" s="29"/>
    </row>
    <row r="34" spans="1:14" ht="15.75" thickBot="1" x14ac:dyDescent="0.3">
      <c r="A34" s="23">
        <v>1033</v>
      </c>
      <c r="B34" s="31" t="s">
        <v>85</v>
      </c>
      <c r="C34" s="31" t="s">
        <v>28</v>
      </c>
      <c r="D34" s="31" t="s">
        <v>43</v>
      </c>
      <c r="E34" s="23">
        <v>22</v>
      </c>
      <c r="F34" s="23">
        <v>8</v>
      </c>
      <c r="G34" s="23" t="s">
        <v>86</v>
      </c>
      <c r="H34" s="29"/>
      <c r="I34" s="29"/>
      <c r="J34" s="29"/>
      <c r="K34" s="29"/>
      <c r="L34" s="29"/>
      <c r="M34" s="29"/>
      <c r="N34" s="29"/>
    </row>
    <row r="35" spans="1:14" ht="15.75" thickBot="1" x14ac:dyDescent="0.3">
      <c r="A35" s="23">
        <v>1034</v>
      </c>
      <c r="B35" s="31" t="s">
        <v>87</v>
      </c>
      <c r="C35" s="31" t="s">
        <v>31</v>
      </c>
      <c r="D35" s="31" t="s">
        <v>29</v>
      </c>
      <c r="E35" s="23">
        <v>17</v>
      </c>
      <c r="F35" s="23">
        <v>50</v>
      </c>
      <c r="G35" s="23" t="s">
        <v>88</v>
      </c>
      <c r="H35" s="29"/>
      <c r="I35" s="29"/>
      <c r="J35" s="29"/>
      <c r="K35" s="29"/>
      <c r="L35" s="29"/>
      <c r="M35" s="29"/>
      <c r="N35" s="29"/>
    </row>
    <row r="36" spans="1:14" ht="15.75" thickBot="1" x14ac:dyDescent="0.3">
      <c r="A36" s="23">
        <v>1035</v>
      </c>
      <c r="B36" s="31" t="s">
        <v>89</v>
      </c>
      <c r="C36" s="31" t="s">
        <v>34</v>
      </c>
      <c r="D36" s="31" t="s">
        <v>32</v>
      </c>
      <c r="E36" s="23">
        <v>19</v>
      </c>
      <c r="F36" s="23">
        <v>10</v>
      </c>
      <c r="G36" s="23" t="s">
        <v>90</v>
      </c>
      <c r="H36" s="29"/>
      <c r="I36" s="29"/>
      <c r="J36" s="29"/>
      <c r="K36" s="29"/>
      <c r="L36" s="29"/>
      <c r="M36" s="29"/>
      <c r="N36" s="29"/>
    </row>
    <row r="37" spans="1:14" ht="15.75" thickBot="1" x14ac:dyDescent="0.3">
      <c r="A37" s="23">
        <v>1036</v>
      </c>
      <c r="B37" s="31" t="s">
        <v>91</v>
      </c>
      <c r="C37" s="31" t="s">
        <v>38</v>
      </c>
      <c r="D37" s="31" t="s">
        <v>35</v>
      </c>
      <c r="E37" s="23">
        <v>15</v>
      </c>
      <c r="F37" s="23">
        <v>25</v>
      </c>
      <c r="G37" s="23" t="s">
        <v>92</v>
      </c>
      <c r="H37" s="29"/>
      <c r="I37" s="29"/>
      <c r="J37" s="29"/>
      <c r="K37" s="29"/>
      <c r="L37" s="29"/>
      <c r="M37" s="29"/>
      <c r="N37" s="29"/>
    </row>
    <row r="38" spans="1:14" ht="15.75" thickBot="1" x14ac:dyDescent="0.3">
      <c r="A38" s="23">
        <v>1037</v>
      </c>
      <c r="B38" s="31" t="s">
        <v>93</v>
      </c>
      <c r="C38" s="31" t="s">
        <v>28</v>
      </c>
      <c r="D38" s="31" t="s">
        <v>40</v>
      </c>
      <c r="E38" s="23">
        <v>28</v>
      </c>
      <c r="F38" s="23">
        <v>5</v>
      </c>
      <c r="G38" s="23" t="s">
        <v>94</v>
      </c>
      <c r="H38" s="29"/>
      <c r="I38" s="29"/>
      <c r="J38" s="29"/>
      <c r="K38" s="29"/>
      <c r="L38" s="29"/>
      <c r="M38" s="29"/>
      <c r="N38" s="29"/>
    </row>
    <row r="39" spans="1:14" ht="15.75" thickBot="1" x14ac:dyDescent="0.3">
      <c r="A39" s="23">
        <v>1038</v>
      </c>
      <c r="B39" s="31" t="s">
        <v>95</v>
      </c>
      <c r="C39" s="31" t="s">
        <v>31</v>
      </c>
      <c r="D39" s="31" t="s">
        <v>43</v>
      </c>
      <c r="E39" s="23">
        <v>24</v>
      </c>
      <c r="F39" s="23">
        <v>8</v>
      </c>
      <c r="G39" s="23" t="s">
        <v>96</v>
      </c>
      <c r="H39" s="29"/>
      <c r="I39" s="29"/>
      <c r="J39" s="29"/>
      <c r="K39" s="29"/>
      <c r="L39" s="29"/>
      <c r="M39" s="29"/>
      <c r="N39" s="29"/>
    </row>
    <row r="40" spans="1:14" ht="15.75" thickBot="1" x14ac:dyDescent="0.3">
      <c r="A40" s="23">
        <v>1039</v>
      </c>
      <c r="B40" s="31" t="s">
        <v>97</v>
      </c>
      <c r="C40" s="31" t="s">
        <v>34</v>
      </c>
      <c r="D40" s="31" t="s">
        <v>29</v>
      </c>
      <c r="E40" s="23">
        <v>16</v>
      </c>
      <c r="F40" s="23">
        <v>50</v>
      </c>
      <c r="G40" s="23" t="s">
        <v>98</v>
      </c>
      <c r="H40" s="29"/>
      <c r="I40" s="29"/>
      <c r="J40" s="29"/>
      <c r="K40" s="29"/>
      <c r="L40" s="29"/>
      <c r="M40" s="29"/>
      <c r="N40" s="29"/>
    </row>
    <row r="41" spans="1:14" ht="15.75" thickBot="1" x14ac:dyDescent="0.3">
      <c r="A41" s="23">
        <v>1040</v>
      </c>
      <c r="B41" s="31" t="s">
        <v>99</v>
      </c>
      <c r="C41" s="31" t="s">
        <v>38</v>
      </c>
      <c r="D41" s="31" t="s">
        <v>32</v>
      </c>
      <c r="E41" s="23">
        <v>27</v>
      </c>
      <c r="F41" s="23">
        <v>10</v>
      </c>
      <c r="G41" s="23" t="s">
        <v>100</v>
      </c>
      <c r="H41" s="29"/>
      <c r="I41" s="29"/>
      <c r="J41" s="29"/>
      <c r="K41" s="29"/>
      <c r="L41" s="29"/>
      <c r="M41" s="29"/>
      <c r="N41" s="29"/>
    </row>
    <row r="42" spans="1:14" ht="15.75" thickBot="1" x14ac:dyDescent="0.3">
      <c r="A42" s="23">
        <v>1041</v>
      </c>
      <c r="B42" s="31" t="s">
        <v>101</v>
      </c>
      <c r="C42" s="31" t="s">
        <v>28</v>
      </c>
      <c r="D42" s="31" t="s">
        <v>35</v>
      </c>
      <c r="E42" s="23">
        <v>21</v>
      </c>
      <c r="F42" s="23">
        <v>25</v>
      </c>
      <c r="G42" s="23" t="s">
        <v>102</v>
      </c>
      <c r="H42" s="29"/>
      <c r="I42" s="29"/>
      <c r="J42" s="29"/>
      <c r="K42" s="29"/>
      <c r="L42" s="29"/>
      <c r="M42" s="29"/>
      <c r="N42" s="29"/>
    </row>
    <row r="43" spans="1:14" ht="15.75" thickBot="1" x14ac:dyDescent="0.3">
      <c r="A43" s="23">
        <v>1042</v>
      </c>
      <c r="B43" s="31" t="s">
        <v>103</v>
      </c>
      <c r="C43" s="31" t="s">
        <v>31</v>
      </c>
      <c r="D43" s="31" t="s">
        <v>40</v>
      </c>
      <c r="E43" s="23">
        <v>30</v>
      </c>
      <c r="F43" s="23">
        <v>5</v>
      </c>
      <c r="G43" s="23" t="s">
        <v>104</v>
      </c>
      <c r="H43" s="29"/>
      <c r="I43" s="29"/>
      <c r="J43" s="29"/>
      <c r="K43" s="29"/>
      <c r="L43" s="29"/>
      <c r="M43" s="29"/>
      <c r="N43" s="29"/>
    </row>
    <row r="44" spans="1:14" ht="15.75" thickBot="1" x14ac:dyDescent="0.3">
      <c r="A44" s="23">
        <v>1043</v>
      </c>
      <c r="B44" s="31" t="s">
        <v>105</v>
      </c>
      <c r="C44" s="31" t="s">
        <v>34</v>
      </c>
      <c r="D44" s="31" t="s">
        <v>43</v>
      </c>
      <c r="E44" s="23">
        <v>26</v>
      </c>
      <c r="F44" s="23">
        <v>8</v>
      </c>
      <c r="G44" s="22">
        <v>45294</v>
      </c>
      <c r="H44" s="29"/>
      <c r="I44" s="29"/>
      <c r="J44" s="29"/>
      <c r="K44" s="29"/>
      <c r="L44" s="29"/>
      <c r="M44" s="29"/>
      <c r="N44" s="29"/>
    </row>
    <row r="45" spans="1:14" ht="15.75" thickBot="1" x14ac:dyDescent="0.3">
      <c r="A45" s="23">
        <v>1044</v>
      </c>
      <c r="B45" s="31" t="s">
        <v>106</v>
      </c>
      <c r="C45" s="31" t="s">
        <v>38</v>
      </c>
      <c r="D45" s="31" t="s">
        <v>29</v>
      </c>
      <c r="E45" s="23">
        <v>14</v>
      </c>
      <c r="F45" s="23">
        <v>50</v>
      </c>
      <c r="G45" s="22">
        <v>45325</v>
      </c>
      <c r="H45" s="29"/>
      <c r="I45" s="29"/>
      <c r="J45" s="29"/>
      <c r="K45" s="29"/>
      <c r="L45" s="29"/>
      <c r="M45" s="29"/>
      <c r="N45" s="29"/>
    </row>
    <row r="46" spans="1:14" ht="15.75" thickBot="1" x14ac:dyDescent="0.3">
      <c r="A46" s="23">
        <v>1045</v>
      </c>
      <c r="B46" s="31" t="s">
        <v>107</v>
      </c>
      <c r="C46" s="31" t="s">
        <v>28</v>
      </c>
      <c r="D46" s="31" t="s">
        <v>32</v>
      </c>
      <c r="E46" s="23">
        <v>20</v>
      </c>
      <c r="F46" s="23">
        <v>10</v>
      </c>
      <c r="G46" s="22">
        <v>45354</v>
      </c>
      <c r="H46" s="29"/>
      <c r="I46" s="29"/>
      <c r="J46" s="29"/>
      <c r="K46" s="29"/>
      <c r="L46" s="29"/>
      <c r="M46" s="29"/>
      <c r="N46" s="29"/>
    </row>
    <row r="47" spans="1:14" ht="15.75" thickBot="1" x14ac:dyDescent="0.3">
      <c r="A47" s="23">
        <v>1046</v>
      </c>
      <c r="B47" s="31" t="s">
        <v>108</v>
      </c>
      <c r="C47" s="31" t="s">
        <v>31</v>
      </c>
      <c r="D47" s="31" t="s">
        <v>35</v>
      </c>
      <c r="E47" s="23">
        <v>17</v>
      </c>
      <c r="F47" s="23">
        <v>25</v>
      </c>
      <c r="G47" s="22">
        <v>45385</v>
      </c>
      <c r="H47" s="29"/>
      <c r="I47" s="29"/>
      <c r="J47" s="29"/>
      <c r="K47" s="29"/>
      <c r="L47" s="29"/>
      <c r="M47" s="29"/>
      <c r="N47" s="29"/>
    </row>
    <row r="48" spans="1:14" ht="15.75" thickBot="1" x14ac:dyDescent="0.3">
      <c r="A48" s="23">
        <v>1047</v>
      </c>
      <c r="B48" s="31" t="s">
        <v>109</v>
      </c>
      <c r="C48" s="31" t="s">
        <v>34</v>
      </c>
      <c r="D48" s="31" t="s">
        <v>40</v>
      </c>
      <c r="E48" s="23">
        <v>19</v>
      </c>
      <c r="F48" s="23">
        <v>5</v>
      </c>
      <c r="G48" s="22">
        <v>45415</v>
      </c>
      <c r="H48" s="29"/>
      <c r="I48" s="29"/>
      <c r="J48" s="29"/>
      <c r="K48" s="29"/>
      <c r="L48" s="29"/>
      <c r="M48" s="29"/>
      <c r="N48" s="29"/>
    </row>
    <row r="49" spans="1:14" ht="15.75" thickBot="1" x14ac:dyDescent="0.3">
      <c r="A49" s="23">
        <v>1048</v>
      </c>
      <c r="B49" s="31" t="s">
        <v>110</v>
      </c>
      <c r="C49" s="31" t="s">
        <v>38</v>
      </c>
      <c r="D49" s="31" t="s">
        <v>43</v>
      </c>
      <c r="E49" s="23">
        <v>32</v>
      </c>
      <c r="F49" s="23">
        <v>8</v>
      </c>
      <c r="G49" s="22">
        <v>45446</v>
      </c>
      <c r="H49" s="29"/>
      <c r="I49" s="29"/>
      <c r="J49" s="29"/>
      <c r="K49" s="29"/>
      <c r="L49" s="29"/>
      <c r="M49" s="29"/>
      <c r="N49" s="29"/>
    </row>
    <row r="50" spans="1:14" ht="15.75" thickBot="1" x14ac:dyDescent="0.3">
      <c r="A50" s="23">
        <v>1049</v>
      </c>
      <c r="B50" s="31" t="s">
        <v>111</v>
      </c>
      <c r="C50" s="31" t="s">
        <v>28</v>
      </c>
      <c r="D50" s="31" t="s">
        <v>29</v>
      </c>
      <c r="E50" s="23">
        <v>12</v>
      </c>
      <c r="F50" s="23">
        <v>50</v>
      </c>
      <c r="G50" s="22">
        <v>45476</v>
      </c>
      <c r="H50" s="29"/>
      <c r="I50" s="29"/>
      <c r="J50" s="29"/>
      <c r="K50" s="29"/>
      <c r="L50" s="29"/>
      <c r="M50" s="29"/>
      <c r="N50" s="29"/>
    </row>
    <row r="51" spans="1:14" ht="15.75" thickBot="1" x14ac:dyDescent="0.3">
      <c r="A51" s="23">
        <v>1050</v>
      </c>
      <c r="B51" s="31" t="s">
        <v>112</v>
      </c>
      <c r="C51" s="31" t="s">
        <v>31</v>
      </c>
      <c r="D51" s="31" t="s">
        <v>32</v>
      </c>
      <c r="E51" s="23">
        <v>25</v>
      </c>
      <c r="F51" s="23">
        <v>10</v>
      </c>
      <c r="G51" s="22">
        <v>45507</v>
      </c>
      <c r="H51" s="29"/>
      <c r="I51" s="29"/>
      <c r="J51" s="29"/>
      <c r="K51" s="29"/>
      <c r="L51" s="29"/>
      <c r="M51" s="29"/>
      <c r="N51" s="29"/>
    </row>
  </sheetData>
  <mergeCells count="1">
    <mergeCell ref="I2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51F0-C352-4AE0-8A55-8CB1F165A453}">
  <dimension ref="A1:N51"/>
  <sheetViews>
    <sheetView tabSelected="1" topLeftCell="B1" zoomScale="88" workbookViewId="0">
      <selection activeCell="I3" sqref="I3"/>
    </sheetView>
  </sheetViews>
  <sheetFormatPr defaultRowHeight="15" x14ac:dyDescent="0.25"/>
  <cols>
    <col min="1" max="1" width="8" customWidth="1"/>
    <col min="2" max="2" width="14.28515625" customWidth="1"/>
    <col min="4" max="4" width="9.7109375" customWidth="1"/>
    <col min="7" max="7" width="12.42578125" customWidth="1"/>
    <col min="14" max="14" width="87.7109375" customWidth="1"/>
  </cols>
  <sheetData>
    <row r="1" spans="1:14" ht="15.75" thickBot="1" x14ac:dyDescent="0.3">
      <c r="A1" s="21" t="s">
        <v>20</v>
      </c>
      <c r="B1" s="21" t="s">
        <v>21</v>
      </c>
      <c r="C1" s="21" t="s">
        <v>22</v>
      </c>
      <c r="D1" s="21" t="s">
        <v>23</v>
      </c>
      <c r="E1" s="21" t="s">
        <v>24</v>
      </c>
      <c r="F1" s="21" t="s">
        <v>25</v>
      </c>
      <c r="G1" s="21" t="s">
        <v>26</v>
      </c>
      <c r="H1" s="6" t="s">
        <v>15</v>
      </c>
      <c r="I1" s="29"/>
      <c r="J1" s="29"/>
      <c r="K1" s="29"/>
      <c r="L1" s="29"/>
      <c r="M1" s="29"/>
      <c r="N1" s="29"/>
    </row>
    <row r="2" spans="1:14" ht="15.75" thickBot="1" x14ac:dyDescent="0.3">
      <c r="A2" s="23">
        <v>1001</v>
      </c>
      <c r="B2" s="31" t="s">
        <v>27</v>
      </c>
      <c r="C2" s="31" t="s">
        <v>28</v>
      </c>
      <c r="D2" s="31" t="s">
        <v>29</v>
      </c>
      <c r="E2" s="23">
        <v>10</v>
      </c>
      <c r="F2" s="23">
        <v>50</v>
      </c>
      <c r="G2" s="22">
        <v>45413</v>
      </c>
      <c r="H2" s="8">
        <v>500</v>
      </c>
      <c r="I2" s="29"/>
      <c r="J2" s="27" t="s">
        <v>118</v>
      </c>
      <c r="K2" s="27"/>
      <c r="L2" s="27"/>
      <c r="M2" s="27"/>
      <c r="N2" s="27"/>
    </row>
    <row r="3" spans="1:14" ht="15.75" thickBot="1" x14ac:dyDescent="0.3">
      <c r="A3" s="23">
        <v>1002</v>
      </c>
      <c r="B3" s="31" t="s">
        <v>30</v>
      </c>
      <c r="C3" s="31" t="s">
        <v>31</v>
      </c>
      <c r="D3" s="31" t="s">
        <v>32</v>
      </c>
      <c r="E3" s="23">
        <v>20</v>
      </c>
      <c r="F3" s="23">
        <v>10</v>
      </c>
      <c r="G3" s="22">
        <v>45444</v>
      </c>
      <c r="H3" s="8">
        <v>200</v>
      </c>
      <c r="I3" s="29"/>
      <c r="J3" s="27"/>
      <c r="K3" s="27"/>
      <c r="L3" s="27"/>
      <c r="M3" s="27"/>
      <c r="N3" s="27"/>
    </row>
    <row r="4" spans="1:14" ht="15.75" thickBot="1" x14ac:dyDescent="0.3">
      <c r="A4" s="23">
        <v>1003</v>
      </c>
      <c r="B4" s="31" t="s">
        <v>33</v>
      </c>
      <c r="C4" s="31" t="s">
        <v>34</v>
      </c>
      <c r="D4" s="31" t="s">
        <v>35</v>
      </c>
      <c r="E4" s="23">
        <v>15</v>
      </c>
      <c r="F4" s="23">
        <v>25</v>
      </c>
      <c r="G4" s="22">
        <v>45474</v>
      </c>
      <c r="H4" s="8">
        <v>375</v>
      </c>
      <c r="I4" s="29"/>
      <c r="J4" s="29"/>
      <c r="K4" s="29"/>
      <c r="L4" s="29"/>
      <c r="M4" s="29"/>
      <c r="N4" s="29"/>
    </row>
    <row r="5" spans="1:14" ht="15.75" thickBot="1" x14ac:dyDescent="0.3">
      <c r="A5" s="23">
        <v>1004</v>
      </c>
      <c r="B5" s="31" t="s">
        <v>37</v>
      </c>
      <c r="C5" s="31" t="s">
        <v>38</v>
      </c>
      <c r="D5" s="31" t="s">
        <v>29</v>
      </c>
      <c r="E5" s="23">
        <v>5</v>
      </c>
      <c r="F5" s="23">
        <v>50</v>
      </c>
      <c r="G5" s="22">
        <v>45505</v>
      </c>
      <c r="H5" s="8">
        <v>250</v>
      </c>
      <c r="I5" s="29"/>
      <c r="J5" s="29"/>
      <c r="K5" s="29"/>
      <c r="L5" s="29"/>
      <c r="M5" s="29"/>
      <c r="N5" s="29"/>
    </row>
    <row r="6" spans="1:14" ht="15.75" thickBot="1" x14ac:dyDescent="0.3">
      <c r="A6" s="23">
        <v>1005</v>
      </c>
      <c r="B6" s="31" t="s">
        <v>39</v>
      </c>
      <c r="C6" s="31" t="s">
        <v>28</v>
      </c>
      <c r="D6" s="31" t="s">
        <v>40</v>
      </c>
      <c r="E6" s="23">
        <v>30</v>
      </c>
      <c r="F6" s="23">
        <v>5</v>
      </c>
      <c r="G6" s="22">
        <v>45566</v>
      </c>
      <c r="H6" s="8">
        <v>150</v>
      </c>
      <c r="I6" s="29"/>
      <c r="J6" s="29"/>
      <c r="K6" s="29"/>
      <c r="L6" s="29"/>
      <c r="M6" s="29"/>
      <c r="N6" s="29"/>
    </row>
    <row r="7" spans="1:14" ht="15.75" thickBot="1" x14ac:dyDescent="0.3">
      <c r="A7" s="23">
        <v>1006</v>
      </c>
      <c r="B7" s="31" t="s">
        <v>41</v>
      </c>
      <c r="C7" s="31" t="s">
        <v>31</v>
      </c>
      <c r="D7" s="31" t="s">
        <v>29</v>
      </c>
      <c r="E7" s="23">
        <v>12</v>
      </c>
      <c r="F7" s="23">
        <v>50</v>
      </c>
      <c r="G7" s="22">
        <v>45597</v>
      </c>
      <c r="H7" s="8">
        <v>600</v>
      </c>
      <c r="I7" s="29"/>
      <c r="J7" s="29"/>
      <c r="K7" s="29"/>
      <c r="L7" s="29"/>
      <c r="M7" s="29"/>
      <c r="N7" s="29"/>
    </row>
    <row r="8" spans="1:14" ht="15.75" thickBot="1" x14ac:dyDescent="0.3">
      <c r="A8" s="23">
        <v>1007</v>
      </c>
      <c r="B8" s="31" t="s">
        <v>42</v>
      </c>
      <c r="C8" s="31" t="s">
        <v>34</v>
      </c>
      <c r="D8" s="31" t="s">
        <v>43</v>
      </c>
      <c r="E8" s="23">
        <v>25</v>
      </c>
      <c r="F8" s="23">
        <v>8</v>
      </c>
      <c r="G8" s="23" t="s">
        <v>44</v>
      </c>
      <c r="H8" s="8">
        <v>200</v>
      </c>
      <c r="I8" s="29"/>
      <c r="J8" s="29"/>
      <c r="K8" s="29"/>
      <c r="L8" s="29"/>
      <c r="M8" s="29"/>
      <c r="N8" s="29"/>
    </row>
    <row r="9" spans="1:14" ht="15.75" thickBot="1" x14ac:dyDescent="0.3">
      <c r="A9" s="23">
        <v>1008</v>
      </c>
      <c r="B9" s="31" t="s">
        <v>45</v>
      </c>
      <c r="C9" s="31" t="s">
        <v>38</v>
      </c>
      <c r="D9" s="31" t="s">
        <v>32</v>
      </c>
      <c r="E9" s="23">
        <v>18</v>
      </c>
      <c r="F9" s="23">
        <v>10</v>
      </c>
      <c r="G9" s="23" t="s">
        <v>46</v>
      </c>
      <c r="H9" s="8">
        <v>180</v>
      </c>
      <c r="I9" s="29"/>
      <c r="J9" s="29"/>
      <c r="K9" s="29"/>
      <c r="L9" s="29"/>
      <c r="M9" s="29"/>
      <c r="N9" s="29"/>
    </row>
    <row r="10" spans="1:14" ht="15.75" thickBot="1" x14ac:dyDescent="0.3">
      <c r="A10" s="23">
        <v>1009</v>
      </c>
      <c r="B10" s="31" t="s">
        <v>47</v>
      </c>
      <c r="C10" s="31" t="s">
        <v>28</v>
      </c>
      <c r="D10" s="31" t="s">
        <v>35</v>
      </c>
      <c r="E10" s="23">
        <v>22</v>
      </c>
      <c r="F10" s="23">
        <v>25</v>
      </c>
      <c r="G10" s="23" t="s">
        <v>48</v>
      </c>
      <c r="H10" s="8">
        <v>550</v>
      </c>
      <c r="I10" s="29"/>
      <c r="J10" s="29"/>
      <c r="K10" s="29"/>
      <c r="L10" s="29"/>
      <c r="M10" s="29"/>
      <c r="N10" s="29"/>
    </row>
    <row r="11" spans="1:14" ht="15.75" thickBot="1" x14ac:dyDescent="0.3">
      <c r="A11" s="23">
        <v>1010</v>
      </c>
      <c r="B11" s="31" t="s">
        <v>49</v>
      </c>
      <c r="C11" s="31" t="s">
        <v>31</v>
      </c>
      <c r="D11" s="31" t="s">
        <v>29</v>
      </c>
      <c r="E11" s="23">
        <v>8</v>
      </c>
      <c r="F11" s="23">
        <v>50</v>
      </c>
      <c r="G11" s="23" t="s">
        <v>50</v>
      </c>
      <c r="H11" s="8">
        <v>400</v>
      </c>
      <c r="I11" s="29"/>
      <c r="J11" s="29"/>
      <c r="K11" s="29"/>
      <c r="L11" s="29"/>
      <c r="M11" s="29"/>
      <c r="N11" s="29"/>
    </row>
    <row r="12" spans="1:14" ht="15.75" thickBot="1" x14ac:dyDescent="0.3">
      <c r="A12" s="23">
        <v>1011</v>
      </c>
      <c r="B12" s="31" t="s">
        <v>51</v>
      </c>
      <c r="C12" s="31" t="s">
        <v>34</v>
      </c>
      <c r="D12" s="31" t="s">
        <v>40</v>
      </c>
      <c r="E12" s="23">
        <v>40</v>
      </c>
      <c r="F12" s="23">
        <v>5</v>
      </c>
      <c r="G12" s="23" t="s">
        <v>52</v>
      </c>
      <c r="H12" s="8">
        <v>200</v>
      </c>
      <c r="I12" s="29"/>
      <c r="J12" s="29"/>
      <c r="K12" s="29"/>
      <c r="L12" s="29"/>
      <c r="M12" s="29"/>
      <c r="N12" s="29"/>
    </row>
    <row r="13" spans="1:14" ht="15.75" thickBot="1" x14ac:dyDescent="0.3">
      <c r="A13" s="23">
        <v>1012</v>
      </c>
      <c r="B13" s="31" t="s">
        <v>53</v>
      </c>
      <c r="C13" s="31" t="s">
        <v>38</v>
      </c>
      <c r="D13" s="31" t="s">
        <v>43</v>
      </c>
      <c r="E13" s="23">
        <v>35</v>
      </c>
      <c r="F13" s="23">
        <v>8</v>
      </c>
      <c r="G13" s="23" t="s">
        <v>54</v>
      </c>
      <c r="H13" s="8">
        <v>280</v>
      </c>
      <c r="I13" s="29"/>
      <c r="J13" s="29"/>
      <c r="K13" s="29"/>
      <c r="L13" s="29"/>
      <c r="M13" s="29"/>
      <c r="N13" s="29"/>
    </row>
    <row r="14" spans="1:14" ht="15.75" thickBot="1" x14ac:dyDescent="0.3">
      <c r="A14" s="23">
        <v>1013</v>
      </c>
      <c r="B14" s="31" t="s">
        <v>55</v>
      </c>
      <c r="C14" s="31" t="s">
        <v>28</v>
      </c>
      <c r="D14" s="31" t="s">
        <v>29</v>
      </c>
      <c r="E14" s="23">
        <v>14</v>
      </c>
      <c r="F14" s="23">
        <v>50</v>
      </c>
      <c r="G14" s="23" t="s">
        <v>56</v>
      </c>
      <c r="H14" s="8">
        <v>700</v>
      </c>
      <c r="I14" s="29"/>
      <c r="J14" s="29"/>
      <c r="K14" s="29"/>
      <c r="L14" s="29"/>
      <c r="M14" s="29"/>
      <c r="N14" s="29"/>
    </row>
    <row r="15" spans="1:14" ht="15.75" thickBot="1" x14ac:dyDescent="0.3">
      <c r="A15" s="23">
        <v>1014</v>
      </c>
      <c r="B15" s="31" t="s">
        <v>57</v>
      </c>
      <c r="C15" s="31" t="s">
        <v>31</v>
      </c>
      <c r="D15" s="31" t="s">
        <v>32</v>
      </c>
      <c r="E15" s="23">
        <v>28</v>
      </c>
      <c r="F15" s="23">
        <v>10</v>
      </c>
      <c r="G15" s="23" t="s">
        <v>58</v>
      </c>
      <c r="H15" s="8">
        <v>280</v>
      </c>
      <c r="I15" s="29"/>
      <c r="J15" s="29"/>
      <c r="K15" s="29"/>
      <c r="L15" s="29"/>
      <c r="M15" s="29"/>
      <c r="N15" s="29"/>
    </row>
    <row r="16" spans="1:14" ht="15.75" thickBot="1" x14ac:dyDescent="0.3">
      <c r="A16" s="23">
        <v>1015</v>
      </c>
      <c r="B16" s="31" t="s">
        <v>59</v>
      </c>
      <c r="C16" s="31" t="s">
        <v>34</v>
      </c>
      <c r="D16" s="31" t="s">
        <v>35</v>
      </c>
      <c r="E16" s="23">
        <v>12</v>
      </c>
      <c r="F16" s="23">
        <v>25</v>
      </c>
      <c r="G16" s="23" t="s">
        <v>60</v>
      </c>
      <c r="H16" s="8">
        <v>300</v>
      </c>
      <c r="I16" s="29"/>
      <c r="J16" s="29"/>
      <c r="K16" s="29"/>
      <c r="L16" s="29"/>
      <c r="M16" s="29"/>
      <c r="N16" s="29"/>
    </row>
    <row r="17" spans="1:14" ht="15.75" thickBot="1" x14ac:dyDescent="0.3">
      <c r="A17" s="23">
        <v>1016</v>
      </c>
      <c r="B17" s="31" t="s">
        <v>61</v>
      </c>
      <c r="C17" s="31" t="s">
        <v>38</v>
      </c>
      <c r="D17" s="31" t="s">
        <v>40</v>
      </c>
      <c r="E17" s="23">
        <v>25</v>
      </c>
      <c r="F17" s="23">
        <v>5</v>
      </c>
      <c r="G17" s="23" t="s">
        <v>62</v>
      </c>
      <c r="H17" s="8">
        <v>125</v>
      </c>
      <c r="I17" s="29"/>
      <c r="J17" s="29"/>
      <c r="K17" s="29"/>
      <c r="L17" s="29"/>
      <c r="M17" s="29"/>
      <c r="N17" s="29"/>
    </row>
    <row r="18" spans="1:14" ht="15.75" thickBot="1" x14ac:dyDescent="0.3">
      <c r="A18" s="23">
        <v>1017</v>
      </c>
      <c r="B18" s="31" t="s">
        <v>63</v>
      </c>
      <c r="C18" s="31" t="s">
        <v>28</v>
      </c>
      <c r="D18" s="31" t="s">
        <v>43</v>
      </c>
      <c r="E18" s="23">
        <v>20</v>
      </c>
      <c r="F18" s="23">
        <v>8</v>
      </c>
      <c r="G18" s="23" t="s">
        <v>64</v>
      </c>
      <c r="H18" s="8">
        <v>160</v>
      </c>
      <c r="I18" s="29"/>
      <c r="J18" s="29"/>
      <c r="K18" s="29"/>
      <c r="L18" s="29"/>
      <c r="M18" s="29"/>
      <c r="N18" s="29"/>
    </row>
    <row r="19" spans="1:14" ht="15.75" thickBot="1" x14ac:dyDescent="0.3">
      <c r="A19" s="23">
        <v>1018</v>
      </c>
      <c r="B19" s="31" t="s">
        <v>65</v>
      </c>
      <c r="C19" s="31" t="s">
        <v>31</v>
      </c>
      <c r="D19" s="31" t="s">
        <v>29</v>
      </c>
      <c r="E19" s="23">
        <v>10</v>
      </c>
      <c r="F19" s="23">
        <v>50</v>
      </c>
      <c r="G19" s="23" t="s">
        <v>66</v>
      </c>
      <c r="H19" s="8">
        <v>500</v>
      </c>
      <c r="I19" s="29"/>
      <c r="J19" s="29"/>
      <c r="K19" s="29"/>
      <c r="L19" s="29"/>
      <c r="M19" s="29"/>
      <c r="N19" s="29"/>
    </row>
    <row r="20" spans="1:14" ht="15.75" thickBot="1" x14ac:dyDescent="0.3">
      <c r="A20" s="23">
        <v>1019</v>
      </c>
      <c r="B20" s="31" t="s">
        <v>67</v>
      </c>
      <c r="C20" s="31" t="s">
        <v>34</v>
      </c>
      <c r="D20" s="31" t="s">
        <v>32</v>
      </c>
      <c r="E20" s="23">
        <v>15</v>
      </c>
      <c r="F20" s="23">
        <v>10</v>
      </c>
      <c r="G20" s="23" t="s">
        <v>68</v>
      </c>
      <c r="H20" s="8">
        <v>150</v>
      </c>
      <c r="I20" s="29"/>
      <c r="J20" s="29"/>
      <c r="K20" s="29"/>
      <c r="L20" s="29"/>
      <c r="M20" s="29"/>
      <c r="N20" s="29"/>
    </row>
    <row r="21" spans="1:14" ht="15.75" thickBot="1" x14ac:dyDescent="0.3">
      <c r="A21" s="23">
        <v>1020</v>
      </c>
      <c r="B21" s="31" t="s">
        <v>69</v>
      </c>
      <c r="C21" s="31" t="s">
        <v>38</v>
      </c>
      <c r="D21" s="31" t="s">
        <v>35</v>
      </c>
      <c r="E21" s="23">
        <v>18</v>
      </c>
      <c r="F21" s="23">
        <v>25</v>
      </c>
      <c r="G21" s="22">
        <v>45293</v>
      </c>
      <c r="H21" s="8">
        <v>450</v>
      </c>
      <c r="I21" s="29"/>
      <c r="J21" s="29"/>
      <c r="K21" s="29"/>
      <c r="L21" s="29"/>
      <c r="M21" s="29"/>
      <c r="N21" s="29"/>
    </row>
    <row r="22" spans="1:14" ht="15.75" thickBot="1" x14ac:dyDescent="0.3">
      <c r="A22" s="23">
        <v>1021</v>
      </c>
      <c r="B22" s="31" t="s">
        <v>70</v>
      </c>
      <c r="C22" s="31" t="s">
        <v>28</v>
      </c>
      <c r="D22" s="31" t="s">
        <v>29</v>
      </c>
      <c r="E22" s="23">
        <v>9</v>
      </c>
      <c r="F22" s="23">
        <v>50</v>
      </c>
      <c r="G22" s="22">
        <v>45324</v>
      </c>
      <c r="H22" s="8">
        <v>450</v>
      </c>
      <c r="I22" s="29"/>
      <c r="J22" s="29"/>
      <c r="K22" s="29"/>
      <c r="L22" s="29"/>
      <c r="M22" s="29"/>
      <c r="N22" s="29"/>
    </row>
    <row r="23" spans="1:14" ht="15.75" thickBot="1" x14ac:dyDescent="0.3">
      <c r="A23" s="23">
        <v>1022</v>
      </c>
      <c r="B23" s="31" t="s">
        <v>71</v>
      </c>
      <c r="C23" s="31" t="s">
        <v>31</v>
      </c>
      <c r="D23" s="31" t="s">
        <v>40</v>
      </c>
      <c r="E23" s="23">
        <v>35</v>
      </c>
      <c r="F23" s="23">
        <v>5</v>
      </c>
      <c r="G23" s="22">
        <v>45353</v>
      </c>
      <c r="H23" s="8">
        <v>175</v>
      </c>
      <c r="I23" s="29"/>
      <c r="J23" s="29"/>
      <c r="K23" s="29"/>
      <c r="L23" s="29"/>
      <c r="M23" s="29"/>
      <c r="N23" s="29"/>
    </row>
    <row r="24" spans="1:14" ht="15.75" thickBot="1" x14ac:dyDescent="0.3">
      <c r="A24" s="23">
        <v>1023</v>
      </c>
      <c r="B24" s="31" t="s">
        <v>72</v>
      </c>
      <c r="C24" s="31" t="s">
        <v>34</v>
      </c>
      <c r="D24" s="31" t="s">
        <v>43</v>
      </c>
      <c r="E24" s="23">
        <v>30</v>
      </c>
      <c r="F24" s="23">
        <v>8</v>
      </c>
      <c r="G24" s="22">
        <v>45384</v>
      </c>
      <c r="H24" s="8">
        <v>240</v>
      </c>
      <c r="I24" s="29"/>
      <c r="J24" s="29"/>
      <c r="K24" s="29"/>
      <c r="L24" s="29"/>
      <c r="M24" s="29"/>
      <c r="N24" s="29"/>
    </row>
    <row r="25" spans="1:14" ht="15.75" thickBot="1" x14ac:dyDescent="0.3">
      <c r="A25" s="23">
        <v>1024</v>
      </c>
      <c r="B25" s="31" t="s">
        <v>73</v>
      </c>
      <c r="C25" s="31" t="s">
        <v>38</v>
      </c>
      <c r="D25" s="31" t="s">
        <v>29</v>
      </c>
      <c r="E25" s="23">
        <v>11</v>
      </c>
      <c r="F25" s="23">
        <v>50</v>
      </c>
      <c r="G25" s="22">
        <v>45445</v>
      </c>
      <c r="H25" s="8">
        <v>550</v>
      </c>
      <c r="I25" s="29"/>
      <c r="J25" s="29"/>
      <c r="K25" s="29"/>
      <c r="L25" s="29"/>
      <c r="M25" s="29"/>
      <c r="N25" s="29"/>
    </row>
    <row r="26" spans="1:14" ht="15.75" thickBot="1" x14ac:dyDescent="0.3">
      <c r="A26" s="23">
        <v>1025</v>
      </c>
      <c r="B26" s="31" t="s">
        <v>74</v>
      </c>
      <c r="C26" s="31" t="s">
        <v>28</v>
      </c>
      <c r="D26" s="31" t="s">
        <v>32</v>
      </c>
      <c r="E26" s="23">
        <v>14</v>
      </c>
      <c r="F26" s="23">
        <v>10</v>
      </c>
      <c r="G26" s="22">
        <v>45475</v>
      </c>
      <c r="H26" s="8">
        <v>140</v>
      </c>
      <c r="I26" s="29"/>
      <c r="J26" s="29"/>
      <c r="K26" s="29"/>
      <c r="L26" s="29"/>
      <c r="M26" s="29"/>
      <c r="N26" s="29"/>
    </row>
    <row r="27" spans="1:14" ht="15.75" thickBot="1" x14ac:dyDescent="0.3">
      <c r="A27" s="23">
        <v>1026</v>
      </c>
      <c r="B27" s="31" t="s">
        <v>75</v>
      </c>
      <c r="C27" s="31" t="s">
        <v>31</v>
      </c>
      <c r="D27" s="31" t="s">
        <v>35</v>
      </c>
      <c r="E27" s="23">
        <v>16</v>
      </c>
      <c r="F27" s="23">
        <v>25</v>
      </c>
      <c r="G27" s="22">
        <v>45506</v>
      </c>
      <c r="H27" s="8">
        <v>400</v>
      </c>
      <c r="I27" s="29"/>
      <c r="J27" s="29"/>
      <c r="K27" s="29"/>
      <c r="L27" s="29"/>
      <c r="M27" s="29"/>
      <c r="N27" s="29"/>
    </row>
    <row r="28" spans="1:14" ht="15.75" thickBot="1" x14ac:dyDescent="0.3">
      <c r="A28" s="23">
        <v>1027</v>
      </c>
      <c r="B28" s="31" t="s">
        <v>76</v>
      </c>
      <c r="C28" s="31" t="s">
        <v>34</v>
      </c>
      <c r="D28" s="31" t="s">
        <v>40</v>
      </c>
      <c r="E28" s="23">
        <v>22</v>
      </c>
      <c r="F28" s="23">
        <v>5</v>
      </c>
      <c r="G28" s="22">
        <v>45537</v>
      </c>
      <c r="H28" s="8">
        <v>110</v>
      </c>
      <c r="I28" s="29"/>
      <c r="J28" s="29"/>
      <c r="K28" s="29"/>
      <c r="L28" s="29"/>
      <c r="M28" s="29"/>
      <c r="N28" s="29"/>
    </row>
    <row r="29" spans="1:14" ht="15.75" thickBot="1" x14ac:dyDescent="0.3">
      <c r="A29" s="23">
        <v>1028</v>
      </c>
      <c r="B29" s="31" t="s">
        <v>77</v>
      </c>
      <c r="C29" s="31" t="s">
        <v>38</v>
      </c>
      <c r="D29" s="31" t="s">
        <v>43</v>
      </c>
      <c r="E29" s="23">
        <v>27</v>
      </c>
      <c r="F29" s="23">
        <v>8</v>
      </c>
      <c r="G29" s="22">
        <v>45567</v>
      </c>
      <c r="H29" s="8">
        <v>216</v>
      </c>
      <c r="I29" s="29"/>
      <c r="J29" s="29"/>
      <c r="K29" s="29"/>
      <c r="L29" s="29"/>
      <c r="M29" s="29"/>
      <c r="N29" s="29"/>
    </row>
    <row r="30" spans="1:14" ht="15.75" thickBot="1" x14ac:dyDescent="0.3">
      <c r="A30" s="23">
        <v>1029</v>
      </c>
      <c r="B30" s="31" t="s">
        <v>78</v>
      </c>
      <c r="C30" s="31" t="s">
        <v>28</v>
      </c>
      <c r="D30" s="31" t="s">
        <v>29</v>
      </c>
      <c r="E30" s="23">
        <v>13</v>
      </c>
      <c r="F30" s="23">
        <v>50</v>
      </c>
      <c r="G30" s="22">
        <v>45628</v>
      </c>
      <c r="H30" s="8">
        <v>650</v>
      </c>
      <c r="I30" s="29"/>
      <c r="J30" s="29"/>
      <c r="K30" s="29"/>
      <c r="L30" s="29"/>
      <c r="M30" s="29"/>
      <c r="N30" s="29"/>
    </row>
    <row r="31" spans="1:14" ht="15.75" thickBot="1" x14ac:dyDescent="0.3">
      <c r="A31" s="23">
        <v>1030</v>
      </c>
      <c r="B31" s="31" t="s">
        <v>79</v>
      </c>
      <c r="C31" s="31" t="s">
        <v>31</v>
      </c>
      <c r="D31" s="31" t="s">
        <v>32</v>
      </c>
      <c r="E31" s="23">
        <v>32</v>
      </c>
      <c r="F31" s="23">
        <v>10</v>
      </c>
      <c r="G31" s="23" t="s">
        <v>80</v>
      </c>
      <c r="H31" s="8">
        <v>320</v>
      </c>
      <c r="I31" s="29"/>
      <c r="J31" s="29"/>
      <c r="K31" s="29"/>
      <c r="L31" s="29"/>
      <c r="M31" s="29"/>
      <c r="N31" s="29"/>
    </row>
    <row r="32" spans="1:14" ht="15.75" thickBot="1" x14ac:dyDescent="0.3">
      <c r="A32" s="23">
        <v>1031</v>
      </c>
      <c r="B32" s="31" t="s">
        <v>81</v>
      </c>
      <c r="C32" s="31" t="s">
        <v>34</v>
      </c>
      <c r="D32" s="31" t="s">
        <v>35</v>
      </c>
      <c r="E32" s="23">
        <v>10</v>
      </c>
      <c r="F32" s="23">
        <v>25</v>
      </c>
      <c r="G32" s="23" t="s">
        <v>82</v>
      </c>
      <c r="H32" s="8">
        <v>250</v>
      </c>
      <c r="I32" s="29"/>
      <c r="J32" s="29"/>
      <c r="K32" s="29"/>
      <c r="L32" s="29"/>
      <c r="M32" s="29"/>
      <c r="N32" s="29"/>
    </row>
    <row r="33" spans="1:14" ht="15.75" thickBot="1" x14ac:dyDescent="0.3">
      <c r="A33" s="23">
        <v>1032</v>
      </c>
      <c r="B33" s="31" t="s">
        <v>83</v>
      </c>
      <c r="C33" s="31" t="s">
        <v>38</v>
      </c>
      <c r="D33" s="31" t="s">
        <v>40</v>
      </c>
      <c r="E33" s="23">
        <v>18</v>
      </c>
      <c r="F33" s="23">
        <v>5</v>
      </c>
      <c r="G33" s="23" t="s">
        <v>84</v>
      </c>
      <c r="H33" s="8">
        <v>90</v>
      </c>
      <c r="I33" s="29"/>
      <c r="J33" s="29"/>
      <c r="K33" s="29"/>
      <c r="L33" s="29"/>
      <c r="M33" s="29"/>
      <c r="N33" s="29"/>
    </row>
    <row r="34" spans="1:14" ht="15.75" thickBot="1" x14ac:dyDescent="0.3">
      <c r="A34" s="23">
        <v>1033</v>
      </c>
      <c r="B34" s="31" t="s">
        <v>85</v>
      </c>
      <c r="C34" s="31" t="s">
        <v>28</v>
      </c>
      <c r="D34" s="31" t="s">
        <v>43</v>
      </c>
      <c r="E34" s="23">
        <v>22</v>
      </c>
      <c r="F34" s="23">
        <v>8</v>
      </c>
      <c r="G34" s="23" t="s">
        <v>86</v>
      </c>
      <c r="H34" s="8">
        <v>176</v>
      </c>
      <c r="I34" s="29"/>
      <c r="J34" s="29"/>
      <c r="K34" s="29"/>
      <c r="L34" s="29"/>
      <c r="M34" s="29"/>
      <c r="N34" s="29"/>
    </row>
    <row r="35" spans="1:14" ht="15.75" thickBot="1" x14ac:dyDescent="0.3">
      <c r="A35" s="23">
        <v>1034</v>
      </c>
      <c r="B35" s="31" t="s">
        <v>87</v>
      </c>
      <c r="C35" s="31" t="s">
        <v>31</v>
      </c>
      <c r="D35" s="31" t="s">
        <v>29</v>
      </c>
      <c r="E35" s="23">
        <v>17</v>
      </c>
      <c r="F35" s="23">
        <v>50</v>
      </c>
      <c r="G35" s="23" t="s">
        <v>88</v>
      </c>
      <c r="H35" s="8">
        <v>850</v>
      </c>
      <c r="I35" s="29"/>
      <c r="J35" s="29"/>
      <c r="K35" s="29"/>
      <c r="L35" s="29"/>
      <c r="M35" s="29"/>
      <c r="N35" s="29"/>
    </row>
    <row r="36" spans="1:14" ht="15.75" thickBot="1" x14ac:dyDescent="0.3">
      <c r="A36" s="23">
        <v>1035</v>
      </c>
      <c r="B36" s="31" t="s">
        <v>89</v>
      </c>
      <c r="C36" s="31" t="s">
        <v>34</v>
      </c>
      <c r="D36" s="31" t="s">
        <v>32</v>
      </c>
      <c r="E36" s="23">
        <v>19</v>
      </c>
      <c r="F36" s="23">
        <v>10</v>
      </c>
      <c r="G36" s="23" t="s">
        <v>90</v>
      </c>
      <c r="H36" s="8">
        <v>190</v>
      </c>
      <c r="I36" s="29"/>
      <c r="J36" s="29"/>
      <c r="K36" s="29"/>
      <c r="L36" s="29"/>
      <c r="M36" s="29"/>
      <c r="N36" s="29"/>
    </row>
    <row r="37" spans="1:14" ht="15.75" thickBot="1" x14ac:dyDescent="0.3">
      <c r="A37" s="23">
        <v>1036</v>
      </c>
      <c r="B37" s="31" t="s">
        <v>91</v>
      </c>
      <c r="C37" s="31" t="s">
        <v>38</v>
      </c>
      <c r="D37" s="31" t="s">
        <v>35</v>
      </c>
      <c r="E37" s="23">
        <v>15</v>
      </c>
      <c r="F37" s="23">
        <v>25</v>
      </c>
      <c r="G37" s="23" t="s">
        <v>92</v>
      </c>
      <c r="H37" s="8">
        <v>375</v>
      </c>
      <c r="I37" s="29"/>
      <c r="J37" s="29"/>
      <c r="K37" s="29"/>
      <c r="L37" s="29"/>
      <c r="M37" s="29"/>
      <c r="N37" s="29"/>
    </row>
    <row r="38" spans="1:14" ht="15.75" thickBot="1" x14ac:dyDescent="0.3">
      <c r="A38" s="23">
        <v>1037</v>
      </c>
      <c r="B38" s="31" t="s">
        <v>93</v>
      </c>
      <c r="C38" s="31" t="s">
        <v>28</v>
      </c>
      <c r="D38" s="31" t="s">
        <v>40</v>
      </c>
      <c r="E38" s="23">
        <v>28</v>
      </c>
      <c r="F38" s="23">
        <v>5</v>
      </c>
      <c r="G38" s="23" t="s">
        <v>94</v>
      </c>
      <c r="H38" s="8">
        <v>140</v>
      </c>
      <c r="I38" s="29"/>
      <c r="J38" s="29"/>
      <c r="K38" s="29"/>
      <c r="L38" s="29"/>
      <c r="M38" s="29"/>
      <c r="N38" s="29"/>
    </row>
    <row r="39" spans="1:14" ht="15.75" thickBot="1" x14ac:dyDescent="0.3">
      <c r="A39" s="23">
        <v>1038</v>
      </c>
      <c r="B39" s="31" t="s">
        <v>95</v>
      </c>
      <c r="C39" s="31" t="s">
        <v>31</v>
      </c>
      <c r="D39" s="31" t="s">
        <v>43</v>
      </c>
      <c r="E39" s="23">
        <v>24</v>
      </c>
      <c r="F39" s="23">
        <v>8</v>
      </c>
      <c r="G39" s="23" t="s">
        <v>96</v>
      </c>
      <c r="H39" s="8">
        <v>192</v>
      </c>
      <c r="I39" s="29"/>
      <c r="J39" s="29"/>
      <c r="K39" s="29"/>
      <c r="L39" s="29"/>
      <c r="M39" s="29"/>
      <c r="N39" s="29"/>
    </row>
    <row r="40" spans="1:14" ht="15.75" thickBot="1" x14ac:dyDescent="0.3">
      <c r="A40" s="23">
        <v>1039</v>
      </c>
      <c r="B40" s="31" t="s">
        <v>97</v>
      </c>
      <c r="C40" s="31" t="s">
        <v>34</v>
      </c>
      <c r="D40" s="31" t="s">
        <v>29</v>
      </c>
      <c r="E40" s="23">
        <v>16</v>
      </c>
      <c r="F40" s="23">
        <v>50</v>
      </c>
      <c r="G40" s="23" t="s">
        <v>98</v>
      </c>
      <c r="H40" s="8">
        <v>800</v>
      </c>
      <c r="I40" s="29"/>
      <c r="J40" s="29"/>
      <c r="K40" s="29"/>
      <c r="L40" s="29"/>
      <c r="M40" s="29"/>
      <c r="N40" s="29"/>
    </row>
    <row r="41" spans="1:14" ht="15.75" thickBot="1" x14ac:dyDescent="0.3">
      <c r="A41" s="23">
        <v>1040</v>
      </c>
      <c r="B41" s="31" t="s">
        <v>99</v>
      </c>
      <c r="C41" s="31" t="s">
        <v>38</v>
      </c>
      <c r="D41" s="31" t="s">
        <v>32</v>
      </c>
      <c r="E41" s="23">
        <v>27</v>
      </c>
      <c r="F41" s="23">
        <v>10</v>
      </c>
      <c r="G41" s="23" t="s">
        <v>100</v>
      </c>
      <c r="H41" s="8">
        <v>270</v>
      </c>
      <c r="I41" s="29"/>
      <c r="J41" s="29"/>
      <c r="K41" s="29"/>
      <c r="L41" s="29"/>
      <c r="M41" s="29"/>
      <c r="N41" s="29"/>
    </row>
    <row r="42" spans="1:14" ht="15.75" thickBot="1" x14ac:dyDescent="0.3">
      <c r="A42" s="23">
        <v>1041</v>
      </c>
      <c r="B42" s="31" t="s">
        <v>101</v>
      </c>
      <c r="C42" s="31" t="s">
        <v>28</v>
      </c>
      <c r="D42" s="31" t="s">
        <v>35</v>
      </c>
      <c r="E42" s="23">
        <v>21</v>
      </c>
      <c r="F42" s="23">
        <v>25</v>
      </c>
      <c r="G42" s="23" t="s">
        <v>102</v>
      </c>
      <c r="H42" s="8">
        <v>525</v>
      </c>
      <c r="I42" s="29"/>
      <c r="J42" s="29"/>
      <c r="K42" s="29"/>
      <c r="L42" s="29"/>
      <c r="M42" s="29"/>
      <c r="N42" s="29"/>
    </row>
    <row r="43" spans="1:14" ht="15.75" thickBot="1" x14ac:dyDescent="0.3">
      <c r="A43" s="23">
        <v>1042</v>
      </c>
      <c r="B43" s="31" t="s">
        <v>103</v>
      </c>
      <c r="C43" s="31" t="s">
        <v>31</v>
      </c>
      <c r="D43" s="31" t="s">
        <v>40</v>
      </c>
      <c r="E43" s="23">
        <v>30</v>
      </c>
      <c r="F43" s="23">
        <v>5</v>
      </c>
      <c r="G43" s="23" t="s">
        <v>104</v>
      </c>
      <c r="H43" s="8">
        <v>150</v>
      </c>
      <c r="I43" s="29"/>
      <c r="J43" s="29"/>
      <c r="K43" s="29"/>
      <c r="L43" s="29"/>
      <c r="M43" s="29"/>
      <c r="N43" s="29"/>
    </row>
    <row r="44" spans="1:14" ht="15.75" thickBot="1" x14ac:dyDescent="0.3">
      <c r="A44" s="23">
        <v>1043</v>
      </c>
      <c r="B44" s="31" t="s">
        <v>105</v>
      </c>
      <c r="C44" s="31" t="s">
        <v>34</v>
      </c>
      <c r="D44" s="31" t="s">
        <v>43</v>
      </c>
      <c r="E44" s="23">
        <v>26</v>
      </c>
      <c r="F44" s="23">
        <v>8</v>
      </c>
      <c r="G44" s="22">
        <v>45294</v>
      </c>
      <c r="H44" s="8">
        <v>208</v>
      </c>
      <c r="I44" s="29"/>
      <c r="J44" s="29"/>
      <c r="K44" s="29"/>
      <c r="L44" s="29"/>
      <c r="M44" s="29"/>
      <c r="N44" s="29"/>
    </row>
    <row r="45" spans="1:14" ht="15.75" thickBot="1" x14ac:dyDescent="0.3">
      <c r="A45" s="23">
        <v>1044</v>
      </c>
      <c r="B45" s="31" t="s">
        <v>106</v>
      </c>
      <c r="C45" s="31" t="s">
        <v>38</v>
      </c>
      <c r="D45" s="31" t="s">
        <v>29</v>
      </c>
      <c r="E45" s="23">
        <v>14</v>
      </c>
      <c r="F45" s="23">
        <v>50</v>
      </c>
      <c r="G45" s="22">
        <v>45325</v>
      </c>
      <c r="H45" s="8">
        <v>700</v>
      </c>
      <c r="I45" s="29"/>
      <c r="J45" s="29"/>
      <c r="K45" s="29"/>
      <c r="L45" s="29"/>
      <c r="M45" s="29"/>
      <c r="N45" s="29"/>
    </row>
    <row r="46" spans="1:14" ht="15.75" thickBot="1" x14ac:dyDescent="0.3">
      <c r="A46" s="23">
        <v>1045</v>
      </c>
      <c r="B46" s="31" t="s">
        <v>107</v>
      </c>
      <c r="C46" s="31" t="s">
        <v>28</v>
      </c>
      <c r="D46" s="31" t="s">
        <v>32</v>
      </c>
      <c r="E46" s="23">
        <v>20</v>
      </c>
      <c r="F46" s="23">
        <v>10</v>
      </c>
      <c r="G46" s="22">
        <v>45354</v>
      </c>
      <c r="H46" s="8">
        <v>200</v>
      </c>
      <c r="I46" s="29"/>
      <c r="J46" s="29"/>
      <c r="K46" s="29"/>
      <c r="L46" s="29"/>
      <c r="M46" s="29"/>
      <c r="N46" s="29"/>
    </row>
    <row r="47" spans="1:14" ht="15.75" thickBot="1" x14ac:dyDescent="0.3">
      <c r="A47" s="23">
        <v>1046</v>
      </c>
      <c r="B47" s="31" t="s">
        <v>108</v>
      </c>
      <c r="C47" s="31" t="s">
        <v>31</v>
      </c>
      <c r="D47" s="31" t="s">
        <v>35</v>
      </c>
      <c r="E47" s="23">
        <v>17</v>
      </c>
      <c r="F47" s="23">
        <v>25</v>
      </c>
      <c r="G47" s="22">
        <v>45385</v>
      </c>
      <c r="H47" s="8">
        <v>425</v>
      </c>
      <c r="I47" s="29"/>
      <c r="J47" s="29"/>
      <c r="K47" s="29"/>
      <c r="L47" s="29"/>
      <c r="M47" s="29"/>
      <c r="N47" s="29"/>
    </row>
    <row r="48" spans="1:14" ht="15.75" thickBot="1" x14ac:dyDescent="0.3">
      <c r="A48" s="23">
        <v>1047</v>
      </c>
      <c r="B48" s="31" t="s">
        <v>109</v>
      </c>
      <c r="C48" s="31" t="s">
        <v>34</v>
      </c>
      <c r="D48" s="31" t="s">
        <v>40</v>
      </c>
      <c r="E48" s="23">
        <v>19</v>
      </c>
      <c r="F48" s="23">
        <v>5</v>
      </c>
      <c r="G48" s="22">
        <v>45415</v>
      </c>
      <c r="H48" s="8">
        <v>95</v>
      </c>
      <c r="I48" s="29"/>
      <c r="J48" s="29"/>
      <c r="K48" s="29"/>
      <c r="L48" s="29"/>
      <c r="M48" s="29"/>
      <c r="N48" s="29"/>
    </row>
    <row r="49" spans="1:14" ht="15.75" thickBot="1" x14ac:dyDescent="0.3">
      <c r="A49" s="23">
        <v>1048</v>
      </c>
      <c r="B49" s="31" t="s">
        <v>110</v>
      </c>
      <c r="C49" s="31" t="s">
        <v>38</v>
      </c>
      <c r="D49" s="31" t="s">
        <v>43</v>
      </c>
      <c r="E49" s="23">
        <v>32</v>
      </c>
      <c r="F49" s="23">
        <v>8</v>
      </c>
      <c r="G49" s="22">
        <v>45446</v>
      </c>
      <c r="H49" s="8">
        <v>256</v>
      </c>
      <c r="I49" s="29"/>
      <c r="J49" s="29"/>
      <c r="K49" s="29"/>
      <c r="L49" s="29"/>
      <c r="M49" s="29"/>
      <c r="N49" s="29"/>
    </row>
    <row r="50" spans="1:14" ht="15.75" thickBot="1" x14ac:dyDescent="0.3">
      <c r="A50" s="23">
        <v>1049</v>
      </c>
      <c r="B50" s="31" t="s">
        <v>111</v>
      </c>
      <c r="C50" s="31" t="s">
        <v>28</v>
      </c>
      <c r="D50" s="31" t="s">
        <v>29</v>
      </c>
      <c r="E50" s="23">
        <v>12</v>
      </c>
      <c r="F50" s="23">
        <v>50</v>
      </c>
      <c r="G50" s="22">
        <v>45476</v>
      </c>
      <c r="H50" s="8">
        <v>600</v>
      </c>
      <c r="I50" s="29"/>
      <c r="J50" s="29"/>
      <c r="K50" s="29"/>
      <c r="L50" s="29"/>
      <c r="M50" s="29"/>
      <c r="N50" s="29"/>
    </row>
    <row r="51" spans="1:14" ht="15.75" thickBot="1" x14ac:dyDescent="0.3">
      <c r="A51" s="23">
        <v>1050</v>
      </c>
      <c r="B51" s="31" t="s">
        <v>112</v>
      </c>
      <c r="C51" s="31" t="s">
        <v>31</v>
      </c>
      <c r="D51" s="31" t="s">
        <v>32</v>
      </c>
      <c r="E51" s="23">
        <v>25</v>
      </c>
      <c r="F51" s="23">
        <v>10</v>
      </c>
      <c r="G51" s="22">
        <v>45507</v>
      </c>
      <c r="H51" s="8">
        <v>250</v>
      </c>
      <c r="I51" s="29"/>
      <c r="J51" s="29"/>
      <c r="K51" s="29"/>
      <c r="L51" s="29"/>
      <c r="M51" s="29"/>
      <c r="N51" s="29"/>
    </row>
  </sheetData>
  <mergeCells count="1">
    <mergeCell ref="J2:N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C648-E196-4103-B2D0-BC78813D306C}">
  <dimension ref="A1:N51"/>
  <sheetViews>
    <sheetView zoomScale="51" workbookViewId="0">
      <selection activeCell="J2" sqref="J2:N3"/>
    </sheetView>
  </sheetViews>
  <sheetFormatPr defaultRowHeight="15" x14ac:dyDescent="0.25"/>
  <cols>
    <col min="1" max="1" width="7.42578125" customWidth="1"/>
    <col min="2" max="2" width="14.85546875" customWidth="1"/>
    <col min="4" max="4" width="11" customWidth="1"/>
    <col min="7" max="7" width="11.7109375" customWidth="1"/>
    <col min="14" max="14" width="31.7109375" customWidth="1"/>
  </cols>
  <sheetData>
    <row r="1" spans="1:14" ht="15.75" thickBot="1" x14ac:dyDescent="0.3">
      <c r="A1" s="21" t="s">
        <v>20</v>
      </c>
      <c r="B1" s="21" t="s">
        <v>21</v>
      </c>
      <c r="C1" s="21" t="s">
        <v>22</v>
      </c>
      <c r="D1" s="21" t="s">
        <v>23</v>
      </c>
      <c r="E1" s="21" t="s">
        <v>24</v>
      </c>
      <c r="F1" s="21" t="s">
        <v>25</v>
      </c>
      <c r="G1" s="21" t="s">
        <v>26</v>
      </c>
      <c r="H1" s="6" t="s">
        <v>15</v>
      </c>
      <c r="I1" s="29"/>
      <c r="J1" s="29"/>
      <c r="K1" s="29"/>
      <c r="L1" s="29"/>
      <c r="M1" s="29"/>
      <c r="N1" s="29"/>
    </row>
    <row r="2" spans="1:14" ht="15.75" thickBot="1" x14ac:dyDescent="0.3">
      <c r="A2" s="23">
        <v>1001</v>
      </c>
      <c r="B2" s="31" t="s">
        <v>27</v>
      </c>
      <c r="C2" s="31" t="s">
        <v>28</v>
      </c>
      <c r="D2" s="31" t="s">
        <v>29</v>
      </c>
      <c r="E2" s="23">
        <v>10</v>
      </c>
      <c r="F2" s="23">
        <v>50</v>
      </c>
      <c r="G2" s="22">
        <v>45413</v>
      </c>
      <c r="H2" s="8">
        <v>500</v>
      </c>
      <c r="I2" s="29"/>
      <c r="J2" s="28" t="s">
        <v>118</v>
      </c>
      <c r="K2" s="28"/>
      <c r="L2" s="28"/>
      <c r="M2" s="28"/>
      <c r="N2" s="28"/>
    </row>
    <row r="3" spans="1:14" ht="15.75" thickBot="1" x14ac:dyDescent="0.3">
      <c r="A3" s="23">
        <v>1002</v>
      </c>
      <c r="B3" s="31" t="s">
        <v>30</v>
      </c>
      <c r="C3" s="31" t="s">
        <v>31</v>
      </c>
      <c r="D3" s="31" t="s">
        <v>32</v>
      </c>
      <c r="E3" s="23">
        <v>20</v>
      </c>
      <c r="F3" s="23">
        <v>10</v>
      </c>
      <c r="G3" s="22">
        <v>45444</v>
      </c>
      <c r="H3" s="8">
        <v>200</v>
      </c>
      <c r="I3" s="29"/>
      <c r="J3" s="28"/>
      <c r="K3" s="28"/>
      <c r="L3" s="28"/>
      <c r="M3" s="28"/>
      <c r="N3" s="28"/>
    </row>
    <row r="4" spans="1:14" ht="15.75" thickBot="1" x14ac:dyDescent="0.3">
      <c r="A4" s="23">
        <v>1003</v>
      </c>
      <c r="B4" s="31" t="s">
        <v>33</v>
      </c>
      <c r="C4" s="31" t="s">
        <v>34</v>
      </c>
      <c r="D4" s="31" t="s">
        <v>35</v>
      </c>
      <c r="E4" s="23">
        <v>15</v>
      </c>
      <c r="F4" s="23">
        <v>25</v>
      </c>
      <c r="G4" s="22">
        <v>45474</v>
      </c>
      <c r="H4" s="8">
        <v>375</v>
      </c>
      <c r="I4" s="29"/>
      <c r="J4" s="29"/>
      <c r="K4" s="29"/>
      <c r="L4" s="29"/>
      <c r="M4" s="29"/>
      <c r="N4" s="29"/>
    </row>
    <row r="5" spans="1:14" ht="15.75" thickBot="1" x14ac:dyDescent="0.3">
      <c r="A5" s="23">
        <v>1004</v>
      </c>
      <c r="B5" s="31" t="s">
        <v>37</v>
      </c>
      <c r="C5" s="31" t="s">
        <v>38</v>
      </c>
      <c r="D5" s="31" t="s">
        <v>29</v>
      </c>
      <c r="E5" s="23">
        <v>5</v>
      </c>
      <c r="F5" s="23">
        <v>50</v>
      </c>
      <c r="G5" s="22">
        <v>45505</v>
      </c>
      <c r="H5" s="8">
        <v>250</v>
      </c>
      <c r="I5" s="29"/>
      <c r="J5" s="29"/>
      <c r="K5" s="29"/>
      <c r="L5" s="29"/>
      <c r="M5" s="29"/>
      <c r="N5" s="29"/>
    </row>
    <row r="6" spans="1:14" ht="15.75" thickBot="1" x14ac:dyDescent="0.3">
      <c r="A6" s="23">
        <v>1005</v>
      </c>
      <c r="B6" s="31" t="s">
        <v>39</v>
      </c>
      <c r="C6" s="31" t="s">
        <v>28</v>
      </c>
      <c r="D6" s="31" t="s">
        <v>40</v>
      </c>
      <c r="E6" s="23">
        <v>30</v>
      </c>
      <c r="F6" s="23">
        <v>5</v>
      </c>
      <c r="G6" s="22">
        <v>45566</v>
      </c>
      <c r="H6" s="8">
        <v>150</v>
      </c>
      <c r="I6" s="29"/>
      <c r="J6" s="29"/>
      <c r="K6" s="29"/>
      <c r="L6" s="29"/>
      <c r="M6" s="29"/>
      <c r="N6" s="29"/>
    </row>
    <row r="7" spans="1:14" ht="15.75" thickBot="1" x14ac:dyDescent="0.3">
      <c r="A7" s="23">
        <v>1006</v>
      </c>
      <c r="B7" s="31" t="s">
        <v>41</v>
      </c>
      <c r="C7" s="31" t="s">
        <v>31</v>
      </c>
      <c r="D7" s="31" t="s">
        <v>29</v>
      </c>
      <c r="E7" s="23">
        <v>12</v>
      </c>
      <c r="F7" s="23">
        <v>50</v>
      </c>
      <c r="G7" s="22">
        <v>45597</v>
      </c>
      <c r="H7" s="8">
        <v>600</v>
      </c>
      <c r="I7" s="29"/>
      <c r="J7" s="29"/>
      <c r="K7" s="29"/>
      <c r="L7" s="29"/>
      <c r="M7" s="29"/>
      <c r="N7" s="29"/>
    </row>
    <row r="8" spans="1:14" ht="15.75" thickBot="1" x14ac:dyDescent="0.3">
      <c r="A8" s="23">
        <v>1007</v>
      </c>
      <c r="B8" s="31" t="s">
        <v>42</v>
      </c>
      <c r="C8" s="31" t="s">
        <v>34</v>
      </c>
      <c r="D8" s="31" t="s">
        <v>43</v>
      </c>
      <c r="E8" s="23">
        <v>25</v>
      </c>
      <c r="F8" s="23">
        <v>8</v>
      </c>
      <c r="G8" s="23" t="s">
        <v>44</v>
      </c>
      <c r="H8" s="8">
        <v>200</v>
      </c>
      <c r="I8" s="29"/>
      <c r="J8" s="29"/>
      <c r="K8" s="29"/>
      <c r="L8" s="29"/>
      <c r="M8" s="29"/>
      <c r="N8" s="29"/>
    </row>
    <row r="9" spans="1:14" ht="15.75" thickBot="1" x14ac:dyDescent="0.3">
      <c r="A9" s="23">
        <v>1008</v>
      </c>
      <c r="B9" s="31" t="s">
        <v>45</v>
      </c>
      <c r="C9" s="31" t="s">
        <v>38</v>
      </c>
      <c r="D9" s="31" t="s">
        <v>32</v>
      </c>
      <c r="E9" s="23">
        <v>18</v>
      </c>
      <c r="F9" s="23">
        <v>10</v>
      </c>
      <c r="G9" s="23" t="s">
        <v>46</v>
      </c>
      <c r="H9" s="8">
        <v>180</v>
      </c>
      <c r="I9" s="29"/>
      <c r="J9" s="29"/>
      <c r="K9" s="29"/>
      <c r="L9" s="29"/>
      <c r="M9" s="29"/>
      <c r="N9" s="29"/>
    </row>
    <row r="10" spans="1:14" ht="15.75" thickBot="1" x14ac:dyDescent="0.3">
      <c r="A10" s="23">
        <v>1009</v>
      </c>
      <c r="B10" s="31" t="s">
        <v>47</v>
      </c>
      <c r="C10" s="31" t="s">
        <v>28</v>
      </c>
      <c r="D10" s="31" t="s">
        <v>35</v>
      </c>
      <c r="E10" s="23">
        <v>22</v>
      </c>
      <c r="F10" s="23">
        <v>25</v>
      </c>
      <c r="G10" s="23" t="s">
        <v>48</v>
      </c>
      <c r="H10" s="8">
        <v>550</v>
      </c>
      <c r="I10" s="29"/>
      <c r="J10" s="29"/>
      <c r="K10" s="29"/>
      <c r="L10" s="29"/>
      <c r="M10" s="29"/>
      <c r="N10" s="29"/>
    </row>
    <row r="11" spans="1:14" ht="15.75" thickBot="1" x14ac:dyDescent="0.3">
      <c r="A11" s="23">
        <v>1010</v>
      </c>
      <c r="B11" s="31" t="s">
        <v>49</v>
      </c>
      <c r="C11" s="31" t="s">
        <v>31</v>
      </c>
      <c r="D11" s="31" t="s">
        <v>29</v>
      </c>
      <c r="E11" s="23">
        <v>8</v>
      </c>
      <c r="F11" s="23">
        <v>50</v>
      </c>
      <c r="G11" s="23" t="s">
        <v>50</v>
      </c>
      <c r="H11" s="8">
        <v>400</v>
      </c>
      <c r="I11" s="29"/>
      <c r="J11" s="29"/>
      <c r="K11" s="29"/>
      <c r="L11" s="29"/>
      <c r="M11" s="29"/>
      <c r="N11" s="29"/>
    </row>
    <row r="12" spans="1:14" ht="15.75" thickBot="1" x14ac:dyDescent="0.3">
      <c r="A12" s="23">
        <v>1011</v>
      </c>
      <c r="B12" s="31" t="s">
        <v>51</v>
      </c>
      <c r="C12" s="31" t="s">
        <v>34</v>
      </c>
      <c r="D12" s="31" t="s">
        <v>40</v>
      </c>
      <c r="E12" s="23">
        <v>40</v>
      </c>
      <c r="F12" s="23">
        <v>5</v>
      </c>
      <c r="G12" s="23" t="s">
        <v>52</v>
      </c>
      <c r="H12" s="8">
        <v>200</v>
      </c>
      <c r="I12" s="29"/>
      <c r="J12" s="29"/>
      <c r="K12" s="29"/>
      <c r="L12" s="29"/>
      <c r="M12" s="29"/>
      <c r="N12" s="29"/>
    </row>
    <row r="13" spans="1:14" ht="15.75" thickBot="1" x14ac:dyDescent="0.3">
      <c r="A13" s="23">
        <v>1012</v>
      </c>
      <c r="B13" s="31" t="s">
        <v>53</v>
      </c>
      <c r="C13" s="31" t="s">
        <v>38</v>
      </c>
      <c r="D13" s="31" t="s">
        <v>43</v>
      </c>
      <c r="E13" s="23">
        <v>35</v>
      </c>
      <c r="F13" s="23">
        <v>8</v>
      </c>
      <c r="G13" s="23" t="s">
        <v>54</v>
      </c>
      <c r="H13" s="8">
        <v>280</v>
      </c>
      <c r="I13" s="29"/>
      <c r="J13" s="29"/>
      <c r="K13" s="29"/>
      <c r="L13" s="29"/>
      <c r="M13" s="29"/>
      <c r="N13" s="29"/>
    </row>
    <row r="14" spans="1:14" ht="15.75" thickBot="1" x14ac:dyDescent="0.3">
      <c r="A14" s="23">
        <v>1013</v>
      </c>
      <c r="B14" s="31" t="s">
        <v>55</v>
      </c>
      <c r="C14" s="31" t="s">
        <v>28</v>
      </c>
      <c r="D14" s="31" t="s">
        <v>29</v>
      </c>
      <c r="E14" s="23">
        <v>14</v>
      </c>
      <c r="F14" s="23">
        <v>50</v>
      </c>
      <c r="G14" s="23" t="s">
        <v>56</v>
      </c>
      <c r="H14" s="8">
        <v>700</v>
      </c>
      <c r="I14" s="29"/>
      <c r="J14" s="29"/>
      <c r="K14" s="29"/>
      <c r="L14" s="29"/>
      <c r="M14" s="29"/>
      <c r="N14" s="29"/>
    </row>
    <row r="15" spans="1:14" ht="15.75" thickBot="1" x14ac:dyDescent="0.3">
      <c r="A15" s="23">
        <v>1014</v>
      </c>
      <c r="B15" s="31" t="s">
        <v>57</v>
      </c>
      <c r="C15" s="31" t="s">
        <v>31</v>
      </c>
      <c r="D15" s="31" t="s">
        <v>32</v>
      </c>
      <c r="E15" s="23">
        <v>28</v>
      </c>
      <c r="F15" s="23">
        <v>10</v>
      </c>
      <c r="G15" s="23" t="s">
        <v>58</v>
      </c>
      <c r="H15" s="8">
        <v>280</v>
      </c>
      <c r="I15" s="29"/>
      <c r="J15" s="29"/>
      <c r="K15" s="29"/>
      <c r="L15" s="29"/>
      <c r="M15" s="29"/>
      <c r="N15" s="29"/>
    </row>
    <row r="16" spans="1:14" ht="15.75" thickBot="1" x14ac:dyDescent="0.3">
      <c r="A16" s="23">
        <v>1015</v>
      </c>
      <c r="B16" s="31" t="s">
        <v>59</v>
      </c>
      <c r="C16" s="31" t="s">
        <v>34</v>
      </c>
      <c r="D16" s="31" t="s">
        <v>35</v>
      </c>
      <c r="E16" s="23">
        <v>12</v>
      </c>
      <c r="F16" s="23">
        <v>25</v>
      </c>
      <c r="G16" s="23" t="s">
        <v>60</v>
      </c>
      <c r="H16" s="8">
        <v>300</v>
      </c>
      <c r="I16" s="29"/>
      <c r="J16" s="29"/>
      <c r="K16" s="29"/>
      <c r="L16" s="29"/>
      <c r="M16" s="29"/>
      <c r="N16" s="29"/>
    </row>
    <row r="17" spans="1:14" ht="15.75" thickBot="1" x14ac:dyDescent="0.3">
      <c r="A17" s="23">
        <v>1016</v>
      </c>
      <c r="B17" s="31" t="s">
        <v>61</v>
      </c>
      <c r="C17" s="31" t="s">
        <v>38</v>
      </c>
      <c r="D17" s="31" t="s">
        <v>40</v>
      </c>
      <c r="E17" s="23">
        <v>25</v>
      </c>
      <c r="F17" s="23">
        <v>5</v>
      </c>
      <c r="G17" s="23" t="s">
        <v>62</v>
      </c>
      <c r="H17" s="8">
        <v>125</v>
      </c>
      <c r="I17" s="29"/>
      <c r="J17" s="29"/>
      <c r="K17" s="29"/>
      <c r="L17" s="29"/>
      <c r="M17" s="29"/>
      <c r="N17" s="29"/>
    </row>
    <row r="18" spans="1:14" ht="15.75" thickBot="1" x14ac:dyDescent="0.3">
      <c r="A18" s="23">
        <v>1017</v>
      </c>
      <c r="B18" s="31" t="s">
        <v>63</v>
      </c>
      <c r="C18" s="31" t="s">
        <v>28</v>
      </c>
      <c r="D18" s="31" t="s">
        <v>43</v>
      </c>
      <c r="E18" s="23">
        <v>20</v>
      </c>
      <c r="F18" s="23">
        <v>8</v>
      </c>
      <c r="G18" s="23" t="s">
        <v>64</v>
      </c>
      <c r="H18" s="8">
        <v>160</v>
      </c>
      <c r="I18" s="29"/>
      <c r="J18" s="29"/>
      <c r="K18" s="29"/>
      <c r="L18" s="29"/>
      <c r="M18" s="29"/>
      <c r="N18" s="29"/>
    </row>
    <row r="19" spans="1:14" ht="15.75" thickBot="1" x14ac:dyDescent="0.3">
      <c r="A19" s="23">
        <v>1018</v>
      </c>
      <c r="B19" s="31" t="s">
        <v>65</v>
      </c>
      <c r="C19" s="31" t="s">
        <v>31</v>
      </c>
      <c r="D19" s="31" t="s">
        <v>29</v>
      </c>
      <c r="E19" s="23">
        <v>10</v>
      </c>
      <c r="F19" s="23">
        <v>50</v>
      </c>
      <c r="G19" s="23" t="s">
        <v>66</v>
      </c>
      <c r="H19" s="8">
        <v>500</v>
      </c>
      <c r="I19" s="29"/>
      <c r="J19" s="29"/>
      <c r="K19" s="29"/>
      <c r="L19" s="29"/>
      <c r="M19" s="29"/>
      <c r="N19" s="29"/>
    </row>
    <row r="20" spans="1:14" ht="15.75" thickBot="1" x14ac:dyDescent="0.3">
      <c r="A20" s="23">
        <v>1019</v>
      </c>
      <c r="B20" s="31" t="s">
        <v>67</v>
      </c>
      <c r="C20" s="31" t="s">
        <v>34</v>
      </c>
      <c r="D20" s="31" t="s">
        <v>32</v>
      </c>
      <c r="E20" s="23">
        <v>15</v>
      </c>
      <c r="F20" s="23">
        <v>10</v>
      </c>
      <c r="G20" s="23" t="s">
        <v>68</v>
      </c>
      <c r="H20" s="8">
        <v>150</v>
      </c>
      <c r="I20" s="29"/>
      <c r="J20" s="29"/>
      <c r="K20" s="29"/>
      <c r="L20" s="29"/>
      <c r="M20" s="29"/>
      <c r="N20" s="29"/>
    </row>
    <row r="21" spans="1:14" ht="15.75" thickBot="1" x14ac:dyDescent="0.3">
      <c r="A21" s="23">
        <v>1020</v>
      </c>
      <c r="B21" s="31" t="s">
        <v>69</v>
      </c>
      <c r="C21" s="31" t="s">
        <v>38</v>
      </c>
      <c r="D21" s="31" t="s">
        <v>35</v>
      </c>
      <c r="E21" s="23">
        <v>18</v>
      </c>
      <c r="F21" s="23">
        <v>25</v>
      </c>
      <c r="G21" s="22">
        <v>45293</v>
      </c>
      <c r="H21" s="8">
        <v>450</v>
      </c>
      <c r="I21" s="29"/>
      <c r="J21" s="29"/>
      <c r="K21" s="29"/>
      <c r="L21" s="29"/>
      <c r="M21" s="29"/>
      <c r="N21" s="29"/>
    </row>
    <row r="22" spans="1:14" ht="15.75" thickBot="1" x14ac:dyDescent="0.3">
      <c r="A22" s="23">
        <v>1021</v>
      </c>
      <c r="B22" s="31" t="s">
        <v>70</v>
      </c>
      <c r="C22" s="31" t="s">
        <v>28</v>
      </c>
      <c r="D22" s="31" t="s">
        <v>29</v>
      </c>
      <c r="E22" s="23">
        <v>9</v>
      </c>
      <c r="F22" s="23">
        <v>50</v>
      </c>
      <c r="G22" s="22">
        <v>45324</v>
      </c>
      <c r="H22" s="8">
        <v>450</v>
      </c>
      <c r="I22" s="29"/>
      <c r="J22" s="29"/>
      <c r="K22" s="29"/>
      <c r="L22" s="29"/>
      <c r="M22" s="29"/>
      <c r="N22" s="29"/>
    </row>
    <row r="23" spans="1:14" ht="15.75" thickBot="1" x14ac:dyDescent="0.3">
      <c r="A23" s="23">
        <v>1022</v>
      </c>
      <c r="B23" s="31" t="s">
        <v>71</v>
      </c>
      <c r="C23" s="31" t="s">
        <v>31</v>
      </c>
      <c r="D23" s="31" t="s">
        <v>40</v>
      </c>
      <c r="E23" s="23">
        <v>35</v>
      </c>
      <c r="F23" s="23">
        <v>5</v>
      </c>
      <c r="G23" s="22">
        <v>45353</v>
      </c>
      <c r="H23" s="8">
        <v>175</v>
      </c>
      <c r="I23" s="29"/>
      <c r="J23" s="29"/>
      <c r="K23" s="29"/>
      <c r="L23" s="29"/>
      <c r="M23" s="29"/>
      <c r="N23" s="29"/>
    </row>
    <row r="24" spans="1:14" ht="15.75" thickBot="1" x14ac:dyDescent="0.3">
      <c r="A24" s="23">
        <v>1023</v>
      </c>
      <c r="B24" s="31" t="s">
        <v>72</v>
      </c>
      <c r="C24" s="31" t="s">
        <v>34</v>
      </c>
      <c r="D24" s="31" t="s">
        <v>43</v>
      </c>
      <c r="E24" s="23">
        <v>30</v>
      </c>
      <c r="F24" s="23">
        <v>8</v>
      </c>
      <c r="G24" s="22">
        <v>45384</v>
      </c>
      <c r="H24" s="8">
        <v>240</v>
      </c>
      <c r="I24" s="29"/>
      <c r="J24" s="29"/>
      <c r="K24" s="29"/>
      <c r="L24" s="29"/>
      <c r="M24" s="29"/>
      <c r="N24" s="29"/>
    </row>
    <row r="25" spans="1:14" ht="15.75" thickBot="1" x14ac:dyDescent="0.3">
      <c r="A25" s="23">
        <v>1024</v>
      </c>
      <c r="B25" s="31" t="s">
        <v>73</v>
      </c>
      <c r="C25" s="31" t="s">
        <v>38</v>
      </c>
      <c r="D25" s="31" t="s">
        <v>29</v>
      </c>
      <c r="E25" s="23">
        <v>11</v>
      </c>
      <c r="F25" s="23">
        <v>50</v>
      </c>
      <c r="G25" s="22">
        <v>45445</v>
      </c>
      <c r="H25" s="8">
        <v>550</v>
      </c>
      <c r="I25" s="29"/>
      <c r="J25" s="29"/>
      <c r="K25" s="29"/>
      <c r="L25" s="29"/>
      <c r="M25" s="29"/>
      <c r="N25" s="29"/>
    </row>
    <row r="26" spans="1:14" ht="15.75" thickBot="1" x14ac:dyDescent="0.3">
      <c r="A26" s="23">
        <v>1025</v>
      </c>
      <c r="B26" s="31" t="s">
        <v>74</v>
      </c>
      <c r="C26" s="31" t="s">
        <v>28</v>
      </c>
      <c r="D26" s="31" t="s">
        <v>32</v>
      </c>
      <c r="E26" s="23">
        <v>14</v>
      </c>
      <c r="F26" s="23">
        <v>10</v>
      </c>
      <c r="G26" s="22">
        <v>45475</v>
      </c>
      <c r="H26" s="8">
        <v>140</v>
      </c>
      <c r="I26" s="29"/>
      <c r="J26" s="29"/>
      <c r="K26" s="29"/>
      <c r="L26" s="29"/>
      <c r="M26" s="29"/>
      <c r="N26" s="29"/>
    </row>
    <row r="27" spans="1:14" ht="15.75" thickBot="1" x14ac:dyDescent="0.3">
      <c r="A27" s="23">
        <v>1026</v>
      </c>
      <c r="B27" s="31" t="s">
        <v>75</v>
      </c>
      <c r="C27" s="31" t="s">
        <v>31</v>
      </c>
      <c r="D27" s="31" t="s">
        <v>35</v>
      </c>
      <c r="E27" s="23">
        <v>16</v>
      </c>
      <c r="F27" s="23">
        <v>25</v>
      </c>
      <c r="G27" s="22">
        <v>45506</v>
      </c>
      <c r="H27" s="8">
        <v>400</v>
      </c>
      <c r="I27" s="29"/>
      <c r="J27" s="29"/>
      <c r="K27" s="29"/>
      <c r="L27" s="29"/>
      <c r="M27" s="29"/>
      <c r="N27" s="29"/>
    </row>
    <row r="28" spans="1:14" ht="15.75" thickBot="1" x14ac:dyDescent="0.3">
      <c r="A28" s="23">
        <v>1027</v>
      </c>
      <c r="B28" s="31" t="s">
        <v>76</v>
      </c>
      <c r="C28" s="31" t="s">
        <v>34</v>
      </c>
      <c r="D28" s="31" t="s">
        <v>40</v>
      </c>
      <c r="E28" s="23">
        <v>22</v>
      </c>
      <c r="F28" s="23">
        <v>5</v>
      </c>
      <c r="G28" s="22">
        <v>45537</v>
      </c>
      <c r="H28" s="8">
        <v>110</v>
      </c>
      <c r="I28" s="29"/>
      <c r="J28" s="29"/>
      <c r="K28" s="29"/>
      <c r="L28" s="29"/>
      <c r="M28" s="29"/>
      <c r="N28" s="29"/>
    </row>
    <row r="29" spans="1:14" ht="15.75" thickBot="1" x14ac:dyDescent="0.3">
      <c r="A29" s="23">
        <v>1028</v>
      </c>
      <c r="B29" s="31" t="s">
        <v>77</v>
      </c>
      <c r="C29" s="31" t="s">
        <v>38</v>
      </c>
      <c r="D29" s="31" t="s">
        <v>43</v>
      </c>
      <c r="E29" s="23">
        <v>27</v>
      </c>
      <c r="F29" s="23">
        <v>8</v>
      </c>
      <c r="G29" s="22">
        <v>45567</v>
      </c>
      <c r="H29" s="8">
        <v>216</v>
      </c>
      <c r="I29" s="29"/>
      <c r="J29" s="29"/>
      <c r="K29" s="29"/>
      <c r="L29" s="29"/>
      <c r="M29" s="29"/>
      <c r="N29" s="29"/>
    </row>
    <row r="30" spans="1:14" ht="15.75" thickBot="1" x14ac:dyDescent="0.3">
      <c r="A30" s="23">
        <v>1029</v>
      </c>
      <c r="B30" s="31" t="s">
        <v>78</v>
      </c>
      <c r="C30" s="31" t="s">
        <v>28</v>
      </c>
      <c r="D30" s="31" t="s">
        <v>29</v>
      </c>
      <c r="E30" s="23">
        <v>13</v>
      </c>
      <c r="F30" s="23">
        <v>50</v>
      </c>
      <c r="G30" s="22">
        <v>45628</v>
      </c>
      <c r="H30" s="8">
        <v>650</v>
      </c>
      <c r="I30" s="29"/>
      <c r="J30" s="29"/>
      <c r="K30" s="29"/>
      <c r="L30" s="29"/>
      <c r="M30" s="29"/>
      <c r="N30" s="29"/>
    </row>
    <row r="31" spans="1:14" ht="15.75" thickBot="1" x14ac:dyDescent="0.3">
      <c r="A31" s="23">
        <v>1030</v>
      </c>
      <c r="B31" s="31" t="s">
        <v>79</v>
      </c>
      <c r="C31" s="31" t="s">
        <v>31</v>
      </c>
      <c r="D31" s="31" t="s">
        <v>32</v>
      </c>
      <c r="E31" s="23">
        <v>32</v>
      </c>
      <c r="F31" s="23">
        <v>10</v>
      </c>
      <c r="G31" s="23" t="s">
        <v>80</v>
      </c>
      <c r="H31" s="8">
        <v>320</v>
      </c>
      <c r="I31" s="29"/>
      <c r="J31" s="29"/>
      <c r="K31" s="29"/>
      <c r="L31" s="29"/>
      <c r="M31" s="29"/>
      <c r="N31" s="29"/>
    </row>
    <row r="32" spans="1:14" ht="15.75" thickBot="1" x14ac:dyDescent="0.3">
      <c r="A32" s="23">
        <v>1031</v>
      </c>
      <c r="B32" s="31" t="s">
        <v>81</v>
      </c>
      <c r="C32" s="31" t="s">
        <v>34</v>
      </c>
      <c r="D32" s="31" t="s">
        <v>35</v>
      </c>
      <c r="E32" s="23">
        <v>10</v>
      </c>
      <c r="F32" s="23">
        <v>25</v>
      </c>
      <c r="G32" s="23" t="s">
        <v>82</v>
      </c>
      <c r="H32" s="8">
        <v>250</v>
      </c>
      <c r="I32" s="29"/>
      <c r="J32" s="29"/>
      <c r="K32" s="29"/>
      <c r="L32" s="29"/>
      <c r="M32" s="29"/>
      <c r="N32" s="29"/>
    </row>
    <row r="33" spans="1:14" ht="15.75" thickBot="1" x14ac:dyDescent="0.3">
      <c r="A33" s="23">
        <v>1032</v>
      </c>
      <c r="B33" s="31" t="s">
        <v>83</v>
      </c>
      <c r="C33" s="31" t="s">
        <v>38</v>
      </c>
      <c r="D33" s="31" t="s">
        <v>40</v>
      </c>
      <c r="E33" s="23">
        <v>18</v>
      </c>
      <c r="F33" s="23">
        <v>5</v>
      </c>
      <c r="G33" s="23" t="s">
        <v>84</v>
      </c>
      <c r="H33" s="8">
        <v>90</v>
      </c>
      <c r="I33" s="29"/>
      <c r="J33" s="29"/>
      <c r="K33" s="29"/>
      <c r="L33" s="29"/>
      <c r="M33" s="29"/>
      <c r="N33" s="29"/>
    </row>
    <row r="34" spans="1:14" ht="15.75" thickBot="1" x14ac:dyDescent="0.3">
      <c r="A34" s="23">
        <v>1033</v>
      </c>
      <c r="B34" s="31" t="s">
        <v>85</v>
      </c>
      <c r="C34" s="31" t="s">
        <v>28</v>
      </c>
      <c r="D34" s="31" t="s">
        <v>43</v>
      </c>
      <c r="E34" s="23">
        <v>22</v>
      </c>
      <c r="F34" s="23">
        <v>8</v>
      </c>
      <c r="G34" s="23" t="s">
        <v>86</v>
      </c>
      <c r="H34" s="8">
        <v>176</v>
      </c>
      <c r="I34" s="29"/>
      <c r="J34" s="29"/>
      <c r="K34" s="29"/>
      <c r="L34" s="29"/>
      <c r="M34" s="29"/>
      <c r="N34" s="29"/>
    </row>
    <row r="35" spans="1:14" ht="15.75" thickBot="1" x14ac:dyDescent="0.3">
      <c r="A35" s="23">
        <v>1034</v>
      </c>
      <c r="B35" s="31" t="s">
        <v>87</v>
      </c>
      <c r="C35" s="31" t="s">
        <v>31</v>
      </c>
      <c r="D35" s="31" t="s">
        <v>29</v>
      </c>
      <c r="E35" s="23">
        <v>17</v>
      </c>
      <c r="F35" s="23">
        <v>50</v>
      </c>
      <c r="G35" s="23" t="s">
        <v>88</v>
      </c>
      <c r="H35" s="8">
        <v>850</v>
      </c>
      <c r="I35" s="29"/>
      <c r="J35" s="29"/>
      <c r="K35" s="29"/>
      <c r="L35" s="29"/>
      <c r="M35" s="29"/>
      <c r="N35" s="29"/>
    </row>
    <row r="36" spans="1:14" ht="15.75" thickBot="1" x14ac:dyDescent="0.3">
      <c r="A36" s="23">
        <v>1035</v>
      </c>
      <c r="B36" s="31" t="s">
        <v>89</v>
      </c>
      <c r="C36" s="31" t="s">
        <v>34</v>
      </c>
      <c r="D36" s="31" t="s">
        <v>32</v>
      </c>
      <c r="E36" s="23">
        <v>19</v>
      </c>
      <c r="F36" s="23">
        <v>10</v>
      </c>
      <c r="G36" s="23" t="s">
        <v>90</v>
      </c>
      <c r="H36" s="8">
        <v>190</v>
      </c>
      <c r="I36" s="29"/>
      <c r="J36" s="29"/>
      <c r="K36" s="29"/>
      <c r="L36" s="29"/>
      <c r="M36" s="29"/>
      <c r="N36" s="29"/>
    </row>
    <row r="37" spans="1:14" ht="15.75" thickBot="1" x14ac:dyDescent="0.3">
      <c r="A37" s="23">
        <v>1036</v>
      </c>
      <c r="B37" s="31" t="s">
        <v>91</v>
      </c>
      <c r="C37" s="31" t="s">
        <v>38</v>
      </c>
      <c r="D37" s="31" t="s">
        <v>35</v>
      </c>
      <c r="E37" s="23">
        <v>15</v>
      </c>
      <c r="F37" s="23">
        <v>25</v>
      </c>
      <c r="G37" s="23" t="s">
        <v>92</v>
      </c>
      <c r="H37" s="8">
        <v>375</v>
      </c>
      <c r="I37" s="29"/>
      <c r="J37" s="29"/>
      <c r="K37" s="29"/>
      <c r="L37" s="29"/>
      <c r="M37" s="29"/>
      <c r="N37" s="29"/>
    </row>
    <row r="38" spans="1:14" ht="15.75" thickBot="1" x14ac:dyDescent="0.3">
      <c r="A38" s="23">
        <v>1037</v>
      </c>
      <c r="B38" s="31" t="s">
        <v>93</v>
      </c>
      <c r="C38" s="31" t="s">
        <v>28</v>
      </c>
      <c r="D38" s="31" t="s">
        <v>40</v>
      </c>
      <c r="E38" s="23">
        <v>28</v>
      </c>
      <c r="F38" s="23">
        <v>5</v>
      </c>
      <c r="G38" s="23" t="s">
        <v>94</v>
      </c>
      <c r="H38" s="8">
        <v>140</v>
      </c>
      <c r="I38" s="29"/>
      <c r="J38" s="29"/>
      <c r="K38" s="29"/>
      <c r="L38" s="29"/>
      <c r="M38" s="29"/>
      <c r="N38" s="29"/>
    </row>
    <row r="39" spans="1:14" ht="15.75" thickBot="1" x14ac:dyDescent="0.3">
      <c r="A39" s="23">
        <v>1038</v>
      </c>
      <c r="B39" s="31" t="s">
        <v>95</v>
      </c>
      <c r="C39" s="31" t="s">
        <v>31</v>
      </c>
      <c r="D39" s="31" t="s">
        <v>43</v>
      </c>
      <c r="E39" s="23">
        <v>24</v>
      </c>
      <c r="F39" s="23">
        <v>8</v>
      </c>
      <c r="G39" s="23" t="s">
        <v>96</v>
      </c>
      <c r="H39" s="8">
        <v>192</v>
      </c>
      <c r="I39" s="29"/>
      <c r="J39" s="29"/>
      <c r="K39" s="29"/>
      <c r="L39" s="29"/>
      <c r="M39" s="29"/>
      <c r="N39" s="29"/>
    </row>
    <row r="40" spans="1:14" ht="15.75" thickBot="1" x14ac:dyDescent="0.3">
      <c r="A40" s="23">
        <v>1039</v>
      </c>
      <c r="B40" s="31" t="s">
        <v>97</v>
      </c>
      <c r="C40" s="31" t="s">
        <v>34</v>
      </c>
      <c r="D40" s="31" t="s">
        <v>29</v>
      </c>
      <c r="E40" s="23">
        <v>16</v>
      </c>
      <c r="F40" s="23">
        <v>50</v>
      </c>
      <c r="G40" s="23" t="s">
        <v>98</v>
      </c>
      <c r="H40" s="8">
        <v>800</v>
      </c>
      <c r="I40" s="29"/>
      <c r="J40" s="29"/>
      <c r="K40" s="29"/>
      <c r="L40" s="29"/>
      <c r="M40" s="29"/>
      <c r="N40" s="29"/>
    </row>
    <row r="41" spans="1:14" ht="15.75" thickBot="1" x14ac:dyDescent="0.3">
      <c r="A41" s="23">
        <v>1040</v>
      </c>
      <c r="B41" s="31" t="s">
        <v>99</v>
      </c>
      <c r="C41" s="31" t="s">
        <v>38</v>
      </c>
      <c r="D41" s="31" t="s">
        <v>32</v>
      </c>
      <c r="E41" s="23">
        <v>27</v>
      </c>
      <c r="F41" s="23">
        <v>10</v>
      </c>
      <c r="G41" s="23" t="s">
        <v>100</v>
      </c>
      <c r="H41" s="8">
        <v>270</v>
      </c>
      <c r="I41" s="29"/>
      <c r="J41" s="29"/>
      <c r="K41" s="29"/>
      <c r="L41" s="29"/>
      <c r="M41" s="29"/>
      <c r="N41" s="29"/>
    </row>
    <row r="42" spans="1:14" ht="15.75" thickBot="1" x14ac:dyDescent="0.3">
      <c r="A42" s="23">
        <v>1041</v>
      </c>
      <c r="B42" s="31" t="s">
        <v>101</v>
      </c>
      <c r="C42" s="31" t="s">
        <v>28</v>
      </c>
      <c r="D42" s="31" t="s">
        <v>35</v>
      </c>
      <c r="E42" s="23">
        <v>21</v>
      </c>
      <c r="F42" s="23">
        <v>25</v>
      </c>
      <c r="G42" s="23" t="s">
        <v>102</v>
      </c>
      <c r="H42" s="8">
        <v>525</v>
      </c>
      <c r="I42" s="29"/>
      <c r="J42" s="29"/>
      <c r="K42" s="29"/>
      <c r="L42" s="29"/>
      <c r="M42" s="29"/>
      <c r="N42" s="29"/>
    </row>
    <row r="43" spans="1:14" ht="15.75" thickBot="1" x14ac:dyDescent="0.3">
      <c r="A43" s="23">
        <v>1042</v>
      </c>
      <c r="B43" s="31" t="s">
        <v>103</v>
      </c>
      <c r="C43" s="31" t="s">
        <v>31</v>
      </c>
      <c r="D43" s="31" t="s">
        <v>40</v>
      </c>
      <c r="E43" s="23">
        <v>30</v>
      </c>
      <c r="F43" s="23">
        <v>5</v>
      </c>
      <c r="G43" s="23" t="s">
        <v>104</v>
      </c>
      <c r="H43" s="8">
        <v>150</v>
      </c>
      <c r="I43" s="29"/>
      <c r="J43" s="29"/>
      <c r="K43" s="29"/>
      <c r="L43" s="29"/>
      <c r="M43" s="29"/>
      <c r="N43" s="29"/>
    </row>
    <row r="44" spans="1:14" ht="15.75" thickBot="1" x14ac:dyDescent="0.3">
      <c r="A44" s="23">
        <v>1043</v>
      </c>
      <c r="B44" s="31" t="s">
        <v>105</v>
      </c>
      <c r="C44" s="31" t="s">
        <v>34</v>
      </c>
      <c r="D44" s="31" t="s">
        <v>43</v>
      </c>
      <c r="E44" s="23">
        <v>26</v>
      </c>
      <c r="F44" s="23">
        <v>8</v>
      </c>
      <c r="G44" s="22">
        <v>45294</v>
      </c>
      <c r="H44" s="8">
        <v>208</v>
      </c>
      <c r="I44" s="29"/>
      <c r="J44" s="29"/>
      <c r="K44" s="29"/>
      <c r="L44" s="29"/>
      <c r="M44" s="29"/>
      <c r="N44" s="29"/>
    </row>
    <row r="45" spans="1:14" ht="15.75" thickBot="1" x14ac:dyDescent="0.3">
      <c r="A45" s="23">
        <v>1044</v>
      </c>
      <c r="B45" s="31" t="s">
        <v>106</v>
      </c>
      <c r="C45" s="31" t="s">
        <v>38</v>
      </c>
      <c r="D45" s="31" t="s">
        <v>29</v>
      </c>
      <c r="E45" s="23">
        <v>14</v>
      </c>
      <c r="F45" s="23">
        <v>50</v>
      </c>
      <c r="G45" s="22">
        <v>45325</v>
      </c>
      <c r="H45" s="8">
        <v>700</v>
      </c>
      <c r="I45" s="29"/>
      <c r="J45" s="29"/>
      <c r="K45" s="29"/>
      <c r="L45" s="29"/>
      <c r="M45" s="29"/>
      <c r="N45" s="29"/>
    </row>
    <row r="46" spans="1:14" ht="15.75" thickBot="1" x14ac:dyDescent="0.3">
      <c r="A46" s="23">
        <v>1045</v>
      </c>
      <c r="B46" s="31" t="s">
        <v>107</v>
      </c>
      <c r="C46" s="31" t="s">
        <v>28</v>
      </c>
      <c r="D46" s="31" t="s">
        <v>32</v>
      </c>
      <c r="E46" s="23">
        <v>20</v>
      </c>
      <c r="F46" s="23">
        <v>10</v>
      </c>
      <c r="G46" s="22">
        <v>45354</v>
      </c>
      <c r="H46" s="8">
        <v>200</v>
      </c>
      <c r="I46" s="29"/>
      <c r="J46" s="29"/>
      <c r="K46" s="29"/>
      <c r="L46" s="29"/>
      <c r="M46" s="29"/>
      <c r="N46" s="29"/>
    </row>
    <row r="47" spans="1:14" ht="15.75" thickBot="1" x14ac:dyDescent="0.3">
      <c r="A47" s="23">
        <v>1046</v>
      </c>
      <c r="B47" s="31" t="s">
        <v>108</v>
      </c>
      <c r="C47" s="31" t="s">
        <v>31</v>
      </c>
      <c r="D47" s="31" t="s">
        <v>35</v>
      </c>
      <c r="E47" s="23">
        <v>17</v>
      </c>
      <c r="F47" s="23">
        <v>25</v>
      </c>
      <c r="G47" s="22">
        <v>45385</v>
      </c>
      <c r="H47" s="8">
        <v>425</v>
      </c>
      <c r="I47" s="29"/>
      <c r="J47" s="29"/>
      <c r="K47" s="29"/>
      <c r="L47" s="29"/>
      <c r="M47" s="29"/>
      <c r="N47" s="29"/>
    </row>
    <row r="48" spans="1:14" ht="15.75" thickBot="1" x14ac:dyDescent="0.3">
      <c r="A48" s="23">
        <v>1047</v>
      </c>
      <c r="B48" s="31" t="s">
        <v>109</v>
      </c>
      <c r="C48" s="31" t="s">
        <v>34</v>
      </c>
      <c r="D48" s="31" t="s">
        <v>40</v>
      </c>
      <c r="E48" s="23">
        <v>19</v>
      </c>
      <c r="F48" s="23">
        <v>5</v>
      </c>
      <c r="G48" s="22">
        <v>45415</v>
      </c>
      <c r="H48" s="8">
        <v>95</v>
      </c>
      <c r="I48" s="29"/>
      <c r="J48" s="29"/>
      <c r="K48" s="29"/>
      <c r="L48" s="29"/>
      <c r="M48" s="29"/>
      <c r="N48" s="29"/>
    </row>
    <row r="49" spans="1:14" ht="15.75" thickBot="1" x14ac:dyDescent="0.3">
      <c r="A49" s="23">
        <v>1048</v>
      </c>
      <c r="B49" s="31" t="s">
        <v>110</v>
      </c>
      <c r="C49" s="31" t="s">
        <v>38</v>
      </c>
      <c r="D49" s="31" t="s">
        <v>43</v>
      </c>
      <c r="E49" s="23">
        <v>32</v>
      </c>
      <c r="F49" s="23">
        <v>8</v>
      </c>
      <c r="G49" s="22">
        <v>45446</v>
      </c>
      <c r="H49" s="8">
        <v>256</v>
      </c>
      <c r="I49" s="29"/>
      <c r="J49" s="29"/>
      <c r="K49" s="29"/>
      <c r="L49" s="29"/>
      <c r="M49" s="29"/>
      <c r="N49" s="29"/>
    </row>
    <row r="50" spans="1:14" ht="15.75" thickBot="1" x14ac:dyDescent="0.3">
      <c r="A50" s="23">
        <v>1049</v>
      </c>
      <c r="B50" s="31" t="s">
        <v>111</v>
      </c>
      <c r="C50" s="31" t="s">
        <v>28</v>
      </c>
      <c r="D50" s="31" t="s">
        <v>29</v>
      </c>
      <c r="E50" s="23">
        <v>12</v>
      </c>
      <c r="F50" s="23">
        <v>50</v>
      </c>
      <c r="G50" s="22">
        <v>45476</v>
      </c>
      <c r="H50" s="8">
        <v>600</v>
      </c>
      <c r="I50" s="29"/>
      <c r="J50" s="29"/>
      <c r="K50" s="29"/>
      <c r="L50" s="29"/>
      <c r="M50" s="29"/>
      <c r="N50" s="29"/>
    </row>
    <row r="51" spans="1:14" ht="15.75" thickBot="1" x14ac:dyDescent="0.3">
      <c r="A51" s="23">
        <v>1050</v>
      </c>
      <c r="B51" s="31" t="s">
        <v>112</v>
      </c>
      <c r="C51" s="31" t="s">
        <v>31</v>
      </c>
      <c r="D51" s="31" t="s">
        <v>32</v>
      </c>
      <c r="E51" s="23">
        <v>25</v>
      </c>
      <c r="F51" s="23">
        <v>10</v>
      </c>
      <c r="G51" s="22">
        <v>45507</v>
      </c>
      <c r="H51" s="8">
        <v>250</v>
      </c>
      <c r="I51" s="29"/>
      <c r="J51" s="29"/>
      <c r="K51" s="29"/>
      <c r="L51" s="29"/>
      <c r="M51" s="29"/>
      <c r="N51" s="29"/>
    </row>
  </sheetData>
  <mergeCells count="1">
    <mergeCell ref="J2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Dubey</dc:creator>
  <cp:lastModifiedBy>Sandeep Dubey</cp:lastModifiedBy>
  <cp:lastPrinted>2025-11-13T08:16:36Z</cp:lastPrinted>
  <dcterms:created xsi:type="dcterms:W3CDTF">2025-11-13T06:19:31Z</dcterms:created>
  <dcterms:modified xsi:type="dcterms:W3CDTF">2025-11-13T08:17:26Z</dcterms:modified>
</cp:coreProperties>
</file>